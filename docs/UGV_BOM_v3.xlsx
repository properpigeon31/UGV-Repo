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  <sheet state="visible" name="Notes" sheetId="2" r:id="rId6"/>
    <sheet state="visible" name="Pin map" sheetId="3" r:id="rId7"/>
  </sheets>
  <definedNames/>
  <calcPr/>
</workbook>
</file>

<file path=xl/sharedStrings.xml><?xml version="1.0" encoding="utf-8"?>
<sst xmlns="http://schemas.openxmlformats.org/spreadsheetml/2006/main" count="286" uniqueCount="126">
  <si>
    <t>Assumptions and sources</t>
  </si>
  <si>
    <t>GPIO</t>
  </si>
  <si>
    <t>Prices are rough estimates for typical hobby-electronics suppliers in Canada, not quotes. Replace with actual receipt prices in the yellow column.</t>
  </si>
  <si>
    <t>Cost rules (draft competition rules s.5): purchased parts count at actual cost incl. tax; reused and donated parts at reasonable market value; hard cap CAD 500; target CAD 100.</t>
  </si>
  <si>
    <t>Tax is applied to the full subtotal (including reused parts) as a conservative estimate; confirm treatment with organizers.</t>
  </si>
  <si>
    <t>Open item: whether laptops, tools, test equipment and chargers count toward the cap is undecided by the committee. Chargers are listed as optional (Include? = No).</t>
  </si>
  <si>
    <t>Planned function</t>
  </si>
  <si>
    <t>Not used in this build: Raspberry Pi 5 and Hobbywing EZRUN MAX10 G2 ESC / 3652 motor - at market value they would consume most of the budget.</t>
  </si>
  <si>
    <t>Notes</t>
  </si>
  <si>
    <t>Single-board design: the ESP32-CAM runs video, control and autonomy. An owned Arduino Nano 33 is listed as an optional fallback (Include? = No); if used it counts at market value. See the Pin map sheet.</t>
  </si>
  <si>
    <t>Safety: master switch must physically disconnect propulsion power; a software or radio kill alone does not satisfy the rule (s.4.2.1).</t>
  </si>
  <si>
    <t>12</t>
  </si>
  <si>
    <t>Keep all receipts; the design record needs the BOM and total cost, and organizers may request verification.</t>
  </si>
  <si>
    <t>Motor A input 1 (PWM)</t>
  </si>
  <si>
    <t>Strapping pin: must be low at boot - add pull-down.</t>
  </si>
  <si>
    <t>UGV Bill of Materials</t>
  </si>
  <si>
    <t>13</t>
  </si>
  <si>
    <t>Motor A input 2 (PWM)</t>
  </si>
  <si>
    <t>14</t>
  </si>
  <si>
    <t>Motor B input 1 (PWM)</t>
  </si>
  <si>
    <t>15</t>
  </si>
  <si>
    <t>Motor B input 2 (PWM)</t>
  </si>
  <si>
    <t>Strapping pin (boot log) - add pull-down.</t>
  </si>
  <si>
    <t>1</t>
  </si>
  <si>
    <t>I2C SDA (IMU + 2x ToF)</t>
  </si>
  <si>
    <t>UART TX pin: disconnect the I2C bus while flashing; no serial debug, use Wi-Fi telemetry.</t>
  </si>
  <si>
    <t>3</t>
  </si>
  <si>
    <t>I2C SCL</t>
  </si>
  <si>
    <t>UART RX pin: same flashing note.</t>
  </si>
  <si>
    <t>2</t>
  </si>
  <si>
    <t>Left wheel encoder</t>
  </si>
  <si>
    <t>Total incl. tax</t>
  </si>
  <si>
    <t>Strapping pin: keep floating/low during programming.</t>
  </si>
  <si>
    <t>4</t>
  </si>
  <si>
    <t>Right wheel encoder</t>
  </si>
  <si>
    <t>Shares the onboard flash LED, which may flicker.</t>
  </si>
  <si>
    <t>33</t>
  </si>
  <si>
    <t>Spare</t>
  </si>
  <si>
    <t>Onboard red LED pin, usable if you need one more input.</t>
  </si>
  <si>
    <t>0, 5, 18-27, 32, 34-36, 39</t>
  </si>
  <si>
    <t>Camera (do not use)</t>
  </si>
  <si>
    <t>Reserved by the OV2640 camera.</t>
  </si>
  <si>
    <t>Assumes the AI-Thinker ESP32-CAM with SD card unused. Verify against your board's pinout before wiring.</t>
  </si>
  <si>
    <t>Estimated Total</t>
  </si>
  <si>
    <t>#</t>
  </si>
  <si>
    <t>Part</t>
  </si>
  <si>
    <t>Subsystem</t>
  </si>
  <si>
    <t>Qty</t>
  </si>
  <si>
    <t>Est Cost</t>
  </si>
  <si>
    <t>Actual Cost</t>
  </si>
  <si>
    <t>Include</t>
  </si>
  <si>
    <t>Status</t>
  </si>
  <si>
    <t>CAD File</t>
  </si>
  <si>
    <t>Store Link</t>
  </si>
  <si>
    <t>ESP32-CAM (OV2640)</t>
  </si>
  <si>
    <t>Compute, Camera &amp; Control</t>
  </si>
  <si>
    <t>Yes</t>
  </si>
  <si>
    <t>Reused - market value</t>
  </si>
  <si>
    <r>
      <rPr>
        <color rgb="FF1155CC"/>
        <u/>
      </rPr>
      <t>ESP32-CAM | 3D CAD Model Library | GrabCAD</t>
    </r>
  </si>
  <si>
    <t>Owned</t>
  </si>
  <si>
    <t>For PWM, future autonomous control</t>
  </si>
  <si>
    <t>ESP32-CAM-MB USB programmer</t>
  </si>
  <si>
    <t>No</t>
  </si>
  <si>
    <t>Planned</t>
  </si>
  <si>
    <t>n/a</t>
  </si>
  <si>
    <t>Should already have a usb serial for board</t>
  </si>
  <si>
    <t>DC 3V-6V 1:90 TT Motor</t>
  </si>
  <si>
    <t>Drive</t>
  </si>
  <si>
    <r>
      <rPr>
        <color rgb="FF1155CC"/>
        <u/>
      </rPr>
      <t>TT Gearmotor DC 3-6V / Motorreductor TT (High Precision) | 3D CAD Model Library | GrabCAD</t>
    </r>
  </si>
  <si>
    <t>DC 3V-6V 1:90 Metal Gear Motor All Metal/Half Metal Single Axis Gear Motor Robot Intelligent Vehicle Speed Reducer TT Motor Blue - AliExpress 502</t>
  </si>
  <si>
    <t>One for each wheel</t>
  </si>
  <si>
    <t>DRV8833 dual motor driver</t>
  </si>
  <si>
    <t>Backup</t>
  </si>
  <si>
    <t>switch to ESC for now, keep this as an option</t>
  </si>
  <si>
    <t>Wheel ~65 mm with hub</t>
  </si>
  <si>
    <t>3D print with TPU</t>
  </si>
  <si>
    <t>MPU6050 IMU</t>
  </si>
  <si>
    <t>Sensing</t>
  </si>
  <si>
    <t xml:space="preserve">Autonomous could be done with camera feed </t>
  </si>
  <si>
    <t>VL53L0X ToF distance sensor</t>
  </si>
  <si>
    <t>2S LiPo ~1500 mAh</t>
  </si>
  <si>
    <t>Power &amp; Safety</t>
  </si>
  <si>
    <t>Use basic shape</t>
  </si>
  <si>
    <r>
      <rPr>
        <color rgb="FF0000FF"/>
        <u/>
      </rPr>
      <t>7.4V 1200mAh Lipo Battery For WLtoys V262 V333 V353B V666 Q212 RC Quadcopter Toys 7.4 V 1200 mAh 2S Battery 7.4 803063 JST plug - AliExpress</t>
    </r>
  </si>
  <si>
    <t>Get 2, double check ratings for all components once confirmed</t>
  </si>
  <si>
    <t>5 V buck converter (3 A)</t>
  </si>
  <si>
    <r>
      <rPr>
        <color rgb="FF1155CC"/>
        <u/>
      </rPr>
      <t>HCW-P715 | 3D CAD Model Library | GrabCAD</t>
    </r>
  </si>
  <si>
    <t>Used for MG996 Servo</t>
  </si>
  <si>
    <t>Master power switch (rated for motor current)</t>
  </si>
  <si>
    <t xml:space="preserve">Physical disconnect on propulsion power </t>
  </si>
  <si>
    <t>Printer Filament</t>
  </si>
  <si>
    <t>Structure</t>
  </si>
  <si>
    <t>PLA, TPU, for price have to figure out amout of plastic used and create a guess</t>
  </si>
  <si>
    <t>PCF8574 I2C GPIO expander</t>
  </si>
  <si>
    <t>Extra GPIO pins if necessary</t>
  </si>
  <si>
    <t xml:space="preserve">Arduino Nano 33 </t>
  </si>
  <si>
    <t>Back up for more control</t>
  </si>
  <si>
    <t>Handheld controller (ESP32 + joystick module)</t>
  </si>
  <si>
    <t>Either laptop or handheld controller</t>
  </si>
  <si>
    <t>LiPo balance charger</t>
  </si>
  <si>
    <t>Not necessary for BOM but need to get it</t>
  </si>
  <si>
    <t>30A Brushed ESC</t>
  </si>
  <si>
    <t>Cant find</t>
  </si>
  <si>
    <r>
      <rPr>
        <color rgb="FF0000FF"/>
        <u/>
      </rPr>
      <t>RC Car Brake 30A Brushed ESC Two Way Motor Speed Controller For 1/16 1/18 1/24 Car Boat Tank - AliExpress 26</t>
    </r>
  </si>
  <si>
    <t>Current plan to avoid motor driver</t>
  </si>
  <si>
    <t xml:space="preserve">M2.5 Scew kit </t>
  </si>
  <si>
    <t>Fasteners</t>
  </si>
  <si>
    <t>0.6x8x25mm springs</t>
  </si>
  <si>
    <r>
      <rPr>
        <color rgb="FF1155CC"/>
        <u/>
      </rPr>
      <t>Stainless Steel Springs | 3D CAD Model Library | GrabCAD</t>
    </r>
  </si>
  <si>
    <t>304 Stainles Steel Small Tension Springs 10pcs Dual Hook, Wire 0.3-0.6mm, OD 3-8mm, Length 15-50mm for DIY &amp; Hardware Repair - AliExpress 13</t>
  </si>
  <si>
    <t>6802RS 15x24x5mm Bearing</t>
  </si>
  <si>
    <r>
      <rPr>
        <color rgb="FF1155CC"/>
        <u/>
      </rPr>
      <t>5802RS 15x24x5 Bearing | 3D CAD Model Library | GrabCAD</t>
    </r>
  </si>
  <si>
    <r>
      <rPr>
        <color rgb="FF1155CC"/>
        <u/>
      </rPr>
      <t>ABEC-7 24377 Bicycle Bearings 2/4Pcs 2RS</t>
    </r>
  </si>
  <si>
    <t>M4 Countersunk Scew M4x14 (0.7mm Pitch)</t>
  </si>
  <si>
    <t>M4 Nylon Nut</t>
  </si>
  <si>
    <t>Metal Insert</t>
  </si>
  <si>
    <t xml:space="preserve">Backup for fastening </t>
  </si>
  <si>
    <t>MG996R Servo</t>
  </si>
  <si>
    <r>
      <rPr>
        <color rgb="FF1155CC"/>
        <u/>
      </rPr>
      <t>MG996R servo motor | 3D CAD Model Library | GrabCAD</t>
    </r>
  </si>
  <si>
    <t>One servo for front steering, plan for rear steering if becomes necessary</t>
  </si>
  <si>
    <t>M1.6 M2 M2.5 M3 M4 M5 M6 M8 Hex Socket Head Cap Screw Nut Kit 12.9 Grade Black Allen Cap Bolts and Nut with Washers Set - AliExpress 13</t>
  </si>
  <si>
    <t>Link includes 2</t>
  </si>
  <si>
    <t>2/4Pcs of 24377 Bicycle Bearing ABEC-7 6802 6803 6805 6902 6903 6000 6001 6800 15267 17287 18307 -2RS Mountain Bike Bearings - AliExpress 13</t>
  </si>
  <si>
    <t>Link includes 10</t>
  </si>
  <si>
    <t>M3 M4*4/5/6/8/10/15/20/25/30/40-50 Black 10.9 Grade Steel DIN7991 Hexagon Socket Flat CSK Countersunk Allen Key Head Screw Bolt - AliExpress 13</t>
  </si>
  <si>
    <r>
      <rPr>
        <rFont val="Arial"/>
        <color rgb="FF1155CC"/>
        <sz val="10.0"/>
        <u/>
      </rPr>
      <t>1~50pcs DIN985 M2 M2.5 M3 M4 M5 M6 M7 M8 M10 M12 Stainless 304 or Steel Hex Nylon Self-locking Nuts Locknut Slip insert Lock Nut - AliExpress 13</t>
    </r>
    <r>
      <rPr>
        <rFont val="Arial"/>
        <color rgb="FF000000"/>
        <sz val="10.0"/>
      </rPr>
      <t>126e17822823642682614e7edc%2112000026751100526%21rec%21CA%21871791547%21X%211%210%21n_tag%3A-29919%3Bd%3A51865432%3Bm03_new_user%3A-29895&amp;utparam-url=scene%3ApcDetailTopMoreOtherSeller%7Cquery_from%3A%7Cx_object_id%3A33030388407%7C_p_origin_prod%3A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</si>
</sst>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\$#,##0.00;&quot;($&quot;#,##0.00\);\-"/>
  </numFmts>
  <fonts count="18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4.0"/>
      <color theme="1"/>
      <name val="Arial"/>
    </font>
    <font>
      <color theme="1"/>
      <name val="Calibri"/>
      <scheme val="minor"/>
    </font>
    <font>
      <i/>
      <sz val="9.0"/>
      <color theme="1"/>
      <name val="Arial"/>
    </font>
    <font>
      <sz val="10.0"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sz val="10.0"/>
      <color rgb="FF1155CC"/>
      <name val="Arial"/>
    </font>
    <font>
      <color theme="1"/>
      <name val="Arial"/>
    </font>
    <font>
      <u/>
      <sz val="10.0"/>
      <color rgb="FF1155CC"/>
      <name val="Arial"/>
    </font>
    <font>
      <u/>
      <sz val="10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7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shrinkToFit="0" vertical="bottom" wrapText="0"/>
    </xf>
    <xf borderId="1" fillId="0" fontId="2" numFmtId="0" xfId="0" applyAlignment="1" applyBorder="1" applyFont="1">
      <alignment shrinkToFit="0" vertical="top" wrapText="1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wrapText="0"/>
    </xf>
    <xf borderId="0" fillId="0" fontId="1" numFmtId="0" xfId="0" applyAlignment="1" applyFont="1">
      <alignment shrinkToFit="0" vertical="bottom" wrapText="0"/>
    </xf>
    <xf borderId="0" fillId="0" fontId="5" numFmtId="164" xfId="0" applyFont="1" applyNumberFormat="1"/>
    <xf borderId="0" fillId="0" fontId="1" numFmtId="165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0"/>
    </xf>
    <xf borderId="0" fillId="0" fontId="5" numFmtId="0" xfId="0" applyFont="1"/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0" fontId="7" numFmtId="165" xfId="0" applyAlignment="1" applyBorder="1" applyFont="1" applyNumberFormat="1">
      <alignment shrinkToFit="0" vertical="center" wrapText="0"/>
    </xf>
    <xf borderId="1" fillId="3" fontId="7" numFmtId="165" xfId="0" applyAlignment="1" applyBorder="1" applyFill="1" applyFont="1" applyNumberFormat="1">
      <alignment readingOrder="0" shrinkToFit="0" vertical="center" wrapText="0"/>
    </xf>
    <xf borderId="1" fillId="0" fontId="7" numFmtId="0" xfId="0" applyAlignment="1" applyBorder="1" applyFont="1">
      <alignment shrinkToFit="0" vertical="center" wrapText="0"/>
    </xf>
    <xf borderId="0" fillId="0" fontId="8" numFmtId="165" xfId="0" applyAlignment="1" applyFont="1" applyNumberFormat="1">
      <alignment readingOrder="0" shrinkToFit="0" wrapText="0"/>
    </xf>
    <xf borderId="2" fillId="0" fontId="7" numFmtId="165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0"/>
    </xf>
    <xf borderId="3" fillId="0" fontId="7" numFmtId="0" xfId="0" applyAlignment="1" applyBorder="1" applyFont="1">
      <alignment shrinkToFit="0" vertical="center" wrapText="0"/>
    </xf>
    <xf borderId="4" fillId="0" fontId="2" numFmtId="165" xfId="0" applyAlignment="1" applyBorder="1" applyFont="1" applyNumberFormat="1">
      <alignment readingOrder="0" shrinkToFit="0" vertical="center" wrapText="0"/>
    </xf>
    <xf borderId="4" fillId="0" fontId="7" numFmtId="165" xfId="0" applyAlignment="1" applyBorder="1" applyFont="1" applyNumberForma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left" readingOrder="0" vertical="bottom"/>
    </xf>
    <xf borderId="4" fillId="0" fontId="9" numFmtId="165" xfId="0" applyAlignment="1" applyBorder="1" applyFont="1" applyNumberFormat="1">
      <alignment readingOrder="0"/>
    </xf>
    <xf borderId="4" fillId="0" fontId="10" numFmtId="0" xfId="0" applyAlignment="1" applyBorder="1" applyFont="1">
      <alignment readingOrder="0" shrinkToFit="0" wrapText="0"/>
    </xf>
    <xf borderId="1" fillId="3" fontId="7" numFmtId="165" xfId="0" applyAlignment="1" applyBorder="1" applyFill="1" applyFont="1" applyNumberFormat="1">
      <alignment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6" fillId="0" fontId="2" numFmtId="165" xfId="0" applyAlignment="1" applyBorder="1" applyFont="1" applyNumberFormat="1">
      <alignment shrinkToFit="0" vertical="center" wrapText="0"/>
    </xf>
    <xf borderId="6" fillId="0" fontId="7" numFmtId="165" xfId="0" applyAlignment="1" applyBorder="1" applyFont="1" applyNumberFormat="1">
      <alignment shrinkToFit="0" vertical="center" wrapText="0"/>
    </xf>
    <xf borderId="1" fillId="0" fontId="2" numFmtId="165" xfId="0" applyAlignment="1" applyBorder="1" applyFont="1" applyNumberFormat="1">
      <alignment shrinkToFit="0" vertical="center" wrapText="0"/>
    </xf>
    <xf borderId="1" fillId="0" fontId="2" numFmtId="165" xfId="0" applyAlignment="1" applyBorder="1" applyFont="1" applyNumberFormat="1">
      <alignment readingOrder="0" shrinkToFit="0" vertical="center" wrapText="0"/>
    </xf>
    <xf borderId="0" fillId="0" fontId="11" numFmtId="165" xfId="0" applyAlignment="1" applyFont="1" applyNumberFormat="1">
      <alignment readingOrder="0"/>
    </xf>
    <xf borderId="0" fillId="0" fontId="12" numFmtId="165" xfId="0" applyAlignment="1" applyFont="1" applyNumberFormat="1">
      <alignment readingOrder="0"/>
    </xf>
    <xf borderId="1" fillId="0" fontId="7" numFmtId="165" xfId="0" applyAlignment="1" applyBorder="1" applyFont="1" applyNumberFormat="1">
      <alignment readingOrder="0" shrinkToFit="0" vertical="center" wrapText="0"/>
    </xf>
    <xf borderId="1" fillId="0" fontId="7" numFmtId="165" xfId="0" applyAlignment="1" applyBorder="1" applyFont="1" applyNumberFormat="1">
      <alignment shrinkToFit="0" vertical="center" wrapText="0"/>
    </xf>
    <xf borderId="1" fillId="4" fontId="2" numFmtId="0" xfId="0" applyAlignment="1" applyBorder="1" applyFill="1" applyFont="1">
      <alignment shrinkToFit="0" vertical="center" wrapText="0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ill="1" applyFont="1">
      <alignment readingOrder="0" shrinkToFit="0" vertical="center" wrapText="1"/>
    </xf>
    <xf borderId="2" fillId="4" fontId="2" numFmtId="0" xfId="0" applyAlignment="1" applyBorder="1" applyFill="1" applyFont="1">
      <alignment shrinkToFit="0" vertical="center" wrapText="1"/>
    </xf>
    <xf borderId="2" fillId="0" fontId="7" numFmtId="165" xfId="0" applyAlignment="1" applyBorder="1" applyFont="1" applyNumberForma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 shrinkToFit="0" vertical="center" wrapText="0"/>
    </xf>
    <xf borderId="3" fillId="0" fontId="7" numFmtId="0" xfId="0" applyAlignment="1" applyBorder="1" applyFont="1">
      <alignment horizontal="center" readingOrder="0" shrinkToFit="0" vertical="center" wrapText="0"/>
    </xf>
    <xf borderId="4" fillId="0" fontId="7" numFmtId="164" xfId="0" applyAlignment="1" applyBorder="1" applyFont="1" applyNumberFormat="1">
      <alignment horizontal="right" readingOrder="0" vertical="bottom"/>
    </xf>
    <xf borderId="5" fillId="3" fontId="7" numFmtId="165" xfId="0" applyAlignment="1" applyBorder="1" applyFill="1" applyFont="1" applyNumberFormat="1">
      <alignment shrinkToFit="0" vertical="center" wrapText="0"/>
    </xf>
    <xf borderId="4" fillId="0" fontId="2" numFmtId="0" xfId="0" applyAlignment="1" applyBorder="1" applyFont="1">
      <alignment vertical="bottom"/>
    </xf>
    <xf borderId="4" fillId="0" fontId="7" numFmtId="164" xfId="0" applyAlignment="1" applyBorder="1" applyFont="1" applyNumberFormat="1">
      <alignment horizontal="right" vertical="bottom"/>
    </xf>
    <xf borderId="0" fillId="0" fontId="13" numFmtId="0" xfId="0" applyAlignment="1" applyFont="1">
      <alignment readingOrder="0" shrinkToFit="0" wrapText="0"/>
    </xf>
    <xf borderId="3" fillId="4" fontId="2" numFmtId="0" xfId="0" applyAlignment="1" applyBorder="1" applyFill="1" applyFont="1">
      <alignment shrinkToFit="0" vertical="center" wrapText="0"/>
    </xf>
    <xf borderId="4" fillId="4" fontId="2" numFmtId="0" xfId="0" applyAlignment="1" applyBorder="1" applyFill="1" applyFont="1">
      <alignment readingOrder="0" shrinkToFit="0" vertical="center" wrapText="1"/>
    </xf>
    <xf borderId="5" fillId="4" fontId="2" numFmtId="0" xfId="0" applyAlignment="1" applyBorder="1" applyFill="1" applyFont="1">
      <alignment readingOrder="0" shrinkToFit="0" vertical="center" wrapText="0"/>
    </xf>
    <xf borderId="1" fillId="0" fontId="7" numFmtId="165" xfId="0" applyAlignment="1" applyBorder="1" applyFont="1" applyNumberFormat="1">
      <alignment readingOrder="0" shrinkToFit="0" vertical="center" wrapText="0"/>
    </xf>
    <xf borderId="6" fillId="4" fontId="2" numFmtId="0" xfId="0" applyAlignment="1" applyBorder="1" applyFill="1" applyFont="1">
      <alignment shrinkToFit="0" vertical="center" wrapText="1"/>
    </xf>
    <xf borderId="1" fillId="5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ill="1" applyFont="1">
      <alignment shrinkToFit="0" vertical="center" wrapText="0"/>
    </xf>
    <xf borderId="1" fillId="4" fontId="2" numFmtId="0" xfId="0" applyAlignment="1" applyBorder="1" applyFill="1" applyFont="1">
      <alignment shrinkToFit="0" vertical="center" wrapText="1"/>
    </xf>
    <xf borderId="1" fillId="0" fontId="7" numFmtId="0" xfId="0" applyAlignment="1" applyBorder="1" applyFont="1">
      <alignment horizontal="center" shrinkToFit="0" vertical="center" wrapText="0"/>
    </xf>
    <xf borderId="1" fillId="0" fontId="7" numFmtId="165" xfId="0" applyAlignment="1" applyBorder="1" applyFont="1" applyNumberFormat="1">
      <alignment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0" fontId="2" numFmtId="165" xfId="0" applyAlignment="1" applyBorder="1" applyFont="1" applyNumberFormat="1">
      <alignment shrinkToFit="0" vertical="center" wrapText="0"/>
    </xf>
    <xf borderId="1" fillId="5" fontId="2" numFmtId="0" xfId="0" applyAlignment="1" applyBorder="1" applyFill="1" applyFont="1">
      <alignment shrinkToFit="0" vertical="center" wrapText="1"/>
    </xf>
    <xf borderId="1" fillId="0" fontId="7" numFmtId="0" xfId="0" applyAlignment="1" applyBorder="1" applyFont="1">
      <alignment shrinkToFit="0" vertical="center" wrapText="0"/>
    </xf>
    <xf borderId="1" fillId="0" fontId="2" numFmtId="165" xfId="0" applyAlignment="1" applyBorder="1" applyFont="1" applyNumberForma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6" numFmtId="0" xfId="0" applyAlignment="1" applyFont="1">
      <alignment horizontal="center" vertical="bottom"/>
    </xf>
    <xf borderId="0" fillId="0" fontId="17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3" pivot="0" name="BOM-style">
      <tableStyleElement dxfId="1" type="headerRow"/>
      <tableStyleElement dxfId="2" type="firstRowStripe"/>
      <tableStyleElement dxfId="1" type="secondRowStripe"/>
    </tableStyle>
    <tableStyle count="3" pivot="0" name="BOM-style 2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8:E59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BO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G8:K59" displayName="Table_2" name="Table_2" id="2">
  <tableColumns count="5">
    <tableColumn name="Yes" id="1"/>
    <tableColumn name="Reused - market value" id="2"/>
    <tableColumn name="ESP32-CAM | 3D CAD Model Library | GrabCAD" id="3"/>
    <tableColumn name="Owned" id="4"/>
    <tableColumn name="For PWM, future autonomous control" id="5"/>
  </tableColumns>
  <tableStyleInfo name="BOM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11" Type="http://schemas.openxmlformats.org/officeDocument/2006/relationships/hyperlink" Target="https://grabcad.com/library/mg996r-servo-motor-4" TargetMode="External"/><Relationship Id="rId10" Type="http://schemas.openxmlformats.org/officeDocument/2006/relationships/hyperlink" Target="https://www.aliexpress.com/item/1005008819315713.html?spm=a2g0o.productlist.main.2.4d3d269ca1SrIO&amp;algo_pvid=57e65062-87f0-4fc6-a9b3-d261ea57ffb9&amp;algo_exp_id=57e65062-87f0-4fc6-a9b3-d261ea57ffb9-1&amp;pdp_ext_f=%7B%22order%22%3A%22405%22%2C%22eval%22%3A%221%22%2C%22fromPage%22%3A%22search%22%7D&amp;pdp_npi=6%40dis%21CAD%216.09%216.09%21%21%214.19%214.19%21%402101f54117822817837848988e3751%2112000057411340212%21sea%21CA%21871791547%21X%211%210%21n_tag%3A-29919%3Bd%3A51865432%3Bm03_new_user%3A-29895&amp;curPageLogUid=KFqmfJfP6oMj&amp;utparam-url=scene%3Asearch%7Cquery_from%3A%7Cx_object_id%3A1005008819315713%7C_p_origin_prod%3A" TargetMode="External"/><Relationship Id="rId21" Type="http://schemas.openxmlformats.org/officeDocument/2006/relationships/table" Target="../tables/table2.xml"/><Relationship Id="rId13" Type="http://schemas.openxmlformats.org/officeDocument/2006/relationships/hyperlink" Target="https://www.aliexpress.com/item/1005009488489265.html?spm=a2g0o.detail.pcDetailTopMoreOtherSeller.10.65e6n2BJn2BJYa&amp;gps-id=pcDetailTopMoreOtherSeller&amp;scm=1007.40050.354490.0&amp;scm_id=1007.40050.354490.0&amp;scm-url=1007.40050.354490.0&amp;pvid=f601e313-d6b8-4707-9a25-3d6db495af7f&amp;_t=gps-id%3ApcDetailTopMoreOtherSeller%2Cscm-url%3A1007.40050.354490.0%2Cpvid%3Af601e313-d6b8-4707-9a25-3d6db495af7f%2Ctpp_buckets%3A668%232846%238116%232002&amp;pdp_ext_f=%7B%22order%22%3A%22482%22%2C%22eval%22%3A%221%22%2C%22sceneId%22%3A%2230050%22%2C%22fromPage%22%3A%22recommend%22%7D&amp;pdp_npi=6%40dis%21CAD%215.39%215.39%21%21%213.71%213.71%21%402101eecd17822815886992356e6430%2112000049259275435%21rec%21CA%21871791547%21X%211%210%21n_tag%3A-29919%3Bd%3A51865432%3Bm03_new_user%3A-29895&amp;utparam-url=scene%3ApcDetailTopMoreOtherSeller%7Cquery_from%3A%7Cx_object_id%3A1005009488489265%7C_p_origin_prod%3A" TargetMode="External"/><Relationship Id="rId12" Type="http://schemas.openxmlformats.org/officeDocument/2006/relationships/hyperlink" Target="https://www.aliexpress.com/item/1005010634719167.html?spm=a2g0o.productlist.main.15.605cnzAHnzAH0X&amp;algo_pvid=327fe8d7-fa81-4fae-8e68-b4a3e9c5f343&amp;algo_exp_id=327fe8d7-fa81-4fae-8e68-b4a3e9c5f343-14&amp;pdp_ext_f=%7B%22order%22%3A%22572%22%2C%22eval%22%3A%221%22%2C%22fromPage%22%3A%22search%22%7D&amp;pdp_npi=6%40dis%21CAD%2110.89%2110.89%21%21%2150.89%2150.89%21%402101e8f317822803262548344e1baa%2112000053037770941%21sea%21CA%21871791547%21X%211%210%21n_tag%3A-29919%3Bd%3A51865432%3Bm03_new_user%3A-29895&amp;curPageLogUid=DE3UztLPXgYL&amp;utparam-url=scene%3Asearch%7Cquery_from%3A%7Cx_object_id%3A1005010634719167%7C_p_origin_prod%3A" TargetMode="External"/><Relationship Id="rId1" Type="http://schemas.openxmlformats.org/officeDocument/2006/relationships/hyperlink" Target="https://grabcad.com/library/esp32-cam-6" TargetMode="External"/><Relationship Id="rId2" Type="http://schemas.openxmlformats.org/officeDocument/2006/relationships/hyperlink" Target="https://grabcad.com/library/tt-gearmotor-dc-3-6v-motorreductor-tt-high-precision-1" TargetMode="External"/><Relationship Id="rId3" Type="http://schemas.openxmlformats.org/officeDocument/2006/relationships/hyperlink" Target="https://www.aliexpress.com/item/1005004297630876.html?spm=a2g0o.order_list.order_list_main.72.d6031802lNSlRp" TargetMode="External"/><Relationship Id="rId4" Type="http://schemas.openxmlformats.org/officeDocument/2006/relationships/hyperlink" Target="https://www.aliexpress.com/item/1005006989245349.html?spm=a2g0o.productlist.main.1.b50312f93lwwAH&amp;algo_pvid=1cd34aa5-17eb-47ba-9705-3a8bbe8dabee&amp;algo_exp_id=1cd34aa5-17eb-47ba-9705-3a8bbe8dabee-0&amp;pdp_ext_f=%7B%22order%22%3A%2233%22%2C%22eval%22%3A%221%22%2C%22fromPage%22%3A%22search%22%7D&amp;pdp_npi=6%40dis%21CAD%215.90%214.12%21%21%214.12%212.88%21%402103119c17927759437952352e1026%2112000038963362797%21sea%21CA%210%21ABX%211%210%21n_tag%3A-29910%3Bd%3A18141ba1%3Bm03_new_user%3A-29895&amp;curPageLogUid=w2D65R0XVmq8&amp;utparam-url=scene%3Asearch%7Cquery_from%3A%7Cx_object_id%3A1005006989245349%7C_p_origin_prod%3A" TargetMode="External"/><Relationship Id="rId9" Type="http://schemas.openxmlformats.org/officeDocument/2006/relationships/hyperlink" Target="https://grabcad.com/library/5802rs-15x24x5-bearing-1" TargetMode="External"/><Relationship Id="rId15" Type="http://schemas.openxmlformats.org/officeDocument/2006/relationships/hyperlink" Target="https://www.aliexpress.com/item/1005008846227292.html?spm=a2g0o.productlist.main.3.408930ad77qFVY&amp;algo_pvid=31af2753-07df-49ac-8ece-d1892494cf18&amp;algo_exp_id=31af2753-07df-49ac-8ece-d1892494cf18-2&amp;pdp_ext_f=%7B%22order%22%3A%221147%22%2C%22eval%22%3A%221%22%2C%22fromPage%22%3A%22search%22%7D&amp;pdp_npi=6%40dis%21CAD%212.99%212.95%21%21%212.06%212.03%21%40210318a717822821721897090e176e%2112000046926633436%21sea%21CA%21871791547%21X%211%210%21n_tag%3A-29919%3Bd%3A51865432%3Bm03_new_user%3A-29895&amp;curPageLogUid=sCGScxzSU6E4&amp;utparam-url=scene%3Asearch%7Cquery_from%3A%7Cx_object_id%3A1005008846227292%7C_p_origin_prod%3A" TargetMode="External"/><Relationship Id="rId14" Type="http://schemas.openxmlformats.org/officeDocument/2006/relationships/hyperlink" Target="https://www.aliexpress.com/item/1005008819315713.html?spm=a2g0o.productlist.main.2.4d3d269ca1SrIO&amp;algo_pvid=57e65062-87f0-4fc6-a9b3-d261ea57ffb9&amp;algo_exp_id=57e65062-87f0-4fc6-a9b3-d261ea57ffb9-1&amp;pdp_ext_f=%7B%22order%22%3A%22405%22%2C%22eval%22%3A%221%22%2C%22fromPage%22%3A%22search%22%7D&amp;pdp_npi=6%40dis%21CAD%216.09%216.09%21%21%214.19%214.19%21%402101f54117822817837848988e3751%2112000057411340212%21sea%21CA%21871791547%21X%211%210%21n_tag%3A-29919%3Bd%3A51865432%3Bm03_new_user%3A-29895&amp;curPageLogUid=KFqmfJfP6oMj&amp;utparam-url=scene%3Asearch%7Cquery_from%3A%7Cx_object_id%3A1005008819315713%7C_p_origin_prod%3A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aliexpress.com/item/33030388407.html?spm=a2g0o.detail.pcDetailTopMoreOtherSeller.3.21ddu0j7u0j7x2&amp;gps-id=pcDetailTopMoreOtherSeller&amp;scm=1007.40050.354490.0&amp;scm_id=1007.40050.354490.0&amp;scm-url=1007.40050.354490.0&amp;pvid=e016abc6-9656-4c40-8283-b1b0794b96a8&amp;_t=gps-id%3ApcDetailTopMoreOtherSeller%2Cscm-url%3A1007.40050.354490.0%2Cpvid%3Ae016abc6-9656-4c40-8283-b1b0794b96a8%2Ctpp_buckets%3A668%232846%238116%232002&amp;pdp_ext_f=%7B%22order%22%3A%224254%22%2C%22eval%22%3A%221%22%2C%22sceneId%22%3A%2230050%22%2C%22fromPage%22%3A%22recommend%22%7D&amp;pdp_npi=6%40dis%21CAD%212.94%212.94%21%21%212.02%212.02%21%402103126e17822823642682614e7edc%2112000026751100526%21rec%21CA%21871791547%21X%211%210%21n_tag%3A-29919%3Bd%3A51865432%3Bm03_new_user%3A-29895&amp;utparam-url=scene%3ApcDetailTopMoreOtherSeller%7Cquery_from%3A%7Cx_object_id%3A33030388407%7C_p_origin_prod%3A" TargetMode="External"/><Relationship Id="rId5" Type="http://schemas.openxmlformats.org/officeDocument/2006/relationships/hyperlink" Target="https://grabcad.com/library/hcw-p715-1" TargetMode="External"/><Relationship Id="rId6" Type="http://schemas.openxmlformats.org/officeDocument/2006/relationships/hyperlink" Target="https://www.aliexpress.com/item/1005005831295207.html?spm=a2g0o.order_list.order_list_main.10.76201802SFFVjw" TargetMode="External"/><Relationship Id="rId7" Type="http://schemas.openxmlformats.org/officeDocument/2006/relationships/hyperlink" Target="https://grabcad.com/library/stainless-steel-springs-1" TargetMode="External"/><Relationship Id="rId8" Type="http://schemas.openxmlformats.org/officeDocument/2006/relationships/hyperlink" Target="https://www.aliexpress.com/item/1005009488489265.html?spm=a2g0o.detail.pcDetailTopMoreOtherSeller.10.65e6n2BJn2BJYa&amp;gps-id=pcDetailTopMoreOtherSeller&amp;scm=1007.40050.354490.0&amp;scm_id=1007.40050.354490.0&amp;scm-url=1007.40050.354490.0&amp;pvid=f601e313-d6b8-4707-9a25-3d6db495af7f&amp;_t=gps-id%3ApcDetailTopMoreOtherSeller%2Cscm-url%3A1007.40050.354490.0%2Cpvid%3Af601e313-d6b8-4707-9a25-3d6db495af7f%2Ctpp_buckets%3A668%232846%238116%232002&amp;pdp_ext_f=%7B%22order%22%3A%22482%22%2C%22eval%22%3A%221%22%2C%22sceneId%22%3A%2230050%22%2C%22fromPage%22%3A%22recommend%22%7D&amp;pdp_npi=6%40dis%21CAD%215.39%215.39%21%21%213.71%213.71%21%402101eecd17822815886992356e6430%2112000049259275435%21rec%21CA%21871791547%21X%211%210%21n_tag%3A-29919%3Bd%3A51865432%3Bm03_new_user%3A-29895&amp;utparam-url=scene%3ApcDetailTopMoreOtherSeller%7Cquery_from%3A%7Cx_object_id%3A1005009488489265%7C_p_origin_prod%3A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4.57"/>
    <col customWidth="1" min="2" max="2" width="44.0"/>
    <col customWidth="1" min="3" max="3" width="26.0"/>
    <col customWidth="1" min="4" max="4" width="6.0"/>
    <col customWidth="1" min="5" max="6" width="14.0"/>
    <col customWidth="1" min="7" max="7" width="10.0"/>
    <col customWidth="1" min="8" max="8" width="20.0"/>
    <col customWidth="1" min="9" max="10" width="16.0"/>
    <col customWidth="1" min="11" max="11" width="58.0"/>
    <col customWidth="1" min="12" max="25" width="8.71"/>
  </cols>
  <sheetData>
    <row r="1">
      <c r="A1" s="5" t="s">
        <v>15</v>
      </c>
      <c r="I1" s="6"/>
    </row>
    <row r="2">
      <c r="I2" s="6"/>
    </row>
    <row r="3">
      <c r="A3" s="7" t="s">
        <v>31</v>
      </c>
      <c r="B3" s="8"/>
      <c r="D3" s="9"/>
      <c r="E3" s="7"/>
      <c r="H3" s="9"/>
      <c r="I3" s="6"/>
    </row>
    <row r="4">
      <c r="A4" s="11"/>
      <c r="B4" s="8">
        <f t="array" ref="B4">SUM(IF(G8:G982="Yes", F8:F982 * D8:D982 * 1.13, 0))</f>
        <v>0</v>
      </c>
      <c r="D4" s="12"/>
      <c r="E4" s="11"/>
      <c r="H4" s="12"/>
      <c r="I4" s="6"/>
    </row>
    <row r="5">
      <c r="A5" s="13" t="s">
        <v>43</v>
      </c>
      <c r="B5" s="8"/>
      <c r="D5" s="12"/>
      <c r="E5" s="11"/>
      <c r="H5" s="12"/>
      <c r="I5" s="6"/>
    </row>
    <row r="6">
      <c r="A6" s="13"/>
      <c r="B6" s="8">
        <f t="array" ref="B6">SUM(IF(G8:G982="Yes", E8:E982 * D8:D982, 0))</f>
        <v>107.7</v>
      </c>
      <c r="D6" s="12"/>
      <c r="E6" s="11"/>
      <c r="H6" s="12"/>
      <c r="I6" s="6"/>
    </row>
    <row r="7" ht="31.5" customHeight="1">
      <c r="A7" s="14" t="s">
        <v>44</v>
      </c>
      <c r="B7" s="14" t="s">
        <v>45</v>
      </c>
      <c r="C7" s="14" t="s">
        <v>46</v>
      </c>
      <c r="D7" s="14" t="s">
        <v>47</v>
      </c>
      <c r="E7" s="15" t="s">
        <v>48</v>
      </c>
      <c r="F7" s="15" t="s">
        <v>49</v>
      </c>
      <c r="G7" s="15" t="s">
        <v>50</v>
      </c>
      <c r="H7" s="14" t="s">
        <v>51</v>
      </c>
      <c r="I7" s="16" t="s">
        <v>52</v>
      </c>
      <c r="J7" s="15" t="s">
        <v>53</v>
      </c>
      <c r="K7" s="14" t="s">
        <v>8</v>
      </c>
    </row>
    <row r="8">
      <c r="A8" s="17">
        <f t="array" ref="A8:A35">SEQUENCE(COUNTA(B8:B982),1)</f>
        <v>1</v>
      </c>
      <c r="B8" s="18" t="s">
        <v>54</v>
      </c>
      <c r="C8" s="19" t="s">
        <v>55</v>
      </c>
      <c r="D8" s="20">
        <v>1.0</v>
      </c>
      <c r="E8" s="21">
        <v>12.0</v>
      </c>
      <c r="F8" s="22"/>
      <c r="G8" s="20" t="s">
        <v>56</v>
      </c>
      <c r="H8" s="23" t="s">
        <v>57</v>
      </c>
      <c r="I8" s="24" t="s">
        <v>58</v>
      </c>
      <c r="J8" s="25" t="s">
        <v>59</v>
      </c>
      <c r="K8" s="26" t="s">
        <v>60</v>
      </c>
    </row>
    <row r="9">
      <c r="A9" s="19">
        <v>2.0</v>
      </c>
      <c r="B9" s="18" t="s">
        <v>61</v>
      </c>
      <c r="C9" s="19" t="s">
        <v>55</v>
      </c>
      <c r="D9" s="20">
        <v>1.0</v>
      </c>
      <c r="E9" s="21">
        <v>4.0</v>
      </c>
      <c r="F9" s="22"/>
      <c r="G9" s="27" t="s">
        <v>62</v>
      </c>
      <c r="H9" s="28" t="s">
        <v>63</v>
      </c>
      <c r="I9" s="29" t="s">
        <v>64</v>
      </c>
      <c r="J9" s="30" t="s">
        <v>59</v>
      </c>
      <c r="K9" s="31" t="s">
        <v>65</v>
      </c>
    </row>
    <row r="10">
      <c r="A10" s="19">
        <v>3.0</v>
      </c>
      <c r="B10" s="32" t="s">
        <v>66</v>
      </c>
      <c r="C10" s="19" t="s">
        <v>67</v>
      </c>
      <c r="D10" s="20">
        <v>2.0</v>
      </c>
      <c r="E10" s="21">
        <v>10.0</v>
      </c>
      <c r="F10" s="22"/>
      <c r="G10" s="20" t="s">
        <v>56</v>
      </c>
      <c r="H10" s="28" t="s">
        <v>63</v>
      </c>
      <c r="I10" s="33" t="s">
        <v>68</v>
      </c>
      <c r="J10" s="34" t="s">
        <v>69</v>
      </c>
      <c r="K10" s="31" t="s">
        <v>70</v>
      </c>
    </row>
    <row r="11" ht="15.75" customHeight="1">
      <c r="A11" s="19">
        <v>4.0</v>
      </c>
      <c r="B11" s="18" t="s">
        <v>71</v>
      </c>
      <c r="C11" s="19" t="s">
        <v>67</v>
      </c>
      <c r="D11" s="20">
        <v>1.0</v>
      </c>
      <c r="E11" s="21">
        <v>4.0</v>
      </c>
      <c r="F11" s="35"/>
      <c r="G11" s="27" t="s">
        <v>62</v>
      </c>
      <c r="H11" s="36" t="s">
        <v>72</v>
      </c>
      <c r="I11" s="37"/>
      <c r="J11" s="38"/>
      <c r="K11" s="26" t="s">
        <v>73</v>
      </c>
    </row>
    <row r="12" ht="15.75" customHeight="1">
      <c r="A12" s="19">
        <v>5.0</v>
      </c>
      <c r="B12" s="18" t="s">
        <v>74</v>
      </c>
      <c r="C12" s="19" t="s">
        <v>67</v>
      </c>
      <c r="D12" s="20">
        <v>2.0</v>
      </c>
      <c r="E12" s="21">
        <v>4.0</v>
      </c>
      <c r="F12" s="35"/>
      <c r="G12" s="27" t="s">
        <v>62</v>
      </c>
      <c r="H12" s="36" t="s">
        <v>72</v>
      </c>
      <c r="I12" s="39"/>
      <c r="J12" s="21"/>
      <c r="K12" s="26" t="s">
        <v>75</v>
      </c>
    </row>
    <row r="13" ht="15.75" customHeight="1">
      <c r="A13" s="19">
        <v>6.0</v>
      </c>
      <c r="B13" s="18" t="s">
        <v>76</v>
      </c>
      <c r="C13" s="19" t="s">
        <v>77</v>
      </c>
      <c r="D13" s="20">
        <v>1.0</v>
      </c>
      <c r="E13" s="21">
        <v>4.0</v>
      </c>
      <c r="F13" s="35"/>
      <c r="G13" s="27" t="s">
        <v>62</v>
      </c>
      <c r="H13" s="36" t="s">
        <v>72</v>
      </c>
      <c r="I13" s="39"/>
      <c r="J13" s="21"/>
      <c r="K13" s="26" t="s">
        <v>78</v>
      </c>
    </row>
    <row r="14" ht="15.75" customHeight="1">
      <c r="A14" s="19">
        <v>7.0</v>
      </c>
      <c r="B14" s="18" t="s">
        <v>79</v>
      </c>
      <c r="C14" s="19" t="s">
        <v>77</v>
      </c>
      <c r="D14" s="20">
        <v>2.0</v>
      </c>
      <c r="E14" s="21">
        <v>5.0</v>
      </c>
      <c r="F14" s="35"/>
      <c r="G14" s="27" t="s">
        <v>62</v>
      </c>
      <c r="H14" s="36" t="s">
        <v>72</v>
      </c>
      <c r="I14" s="39"/>
      <c r="J14" s="21"/>
      <c r="K14" s="26" t="s">
        <v>78</v>
      </c>
    </row>
    <row r="15" ht="15.75" customHeight="1">
      <c r="A15" s="19">
        <v>8.0</v>
      </c>
      <c r="B15" s="18" t="s">
        <v>80</v>
      </c>
      <c r="C15" s="19" t="s">
        <v>81</v>
      </c>
      <c r="D15" s="20">
        <v>1.0</v>
      </c>
      <c r="E15" s="21">
        <v>12.0</v>
      </c>
      <c r="F15" s="35"/>
      <c r="G15" s="20" t="s">
        <v>56</v>
      </c>
      <c r="H15" s="23" t="s">
        <v>63</v>
      </c>
      <c r="I15" s="40" t="s">
        <v>82</v>
      </c>
      <c r="J15" s="41" t="s">
        <v>83</v>
      </c>
      <c r="K15" s="26" t="s">
        <v>84</v>
      </c>
    </row>
    <row r="16" ht="15.75" customHeight="1">
      <c r="A16" s="19">
        <v>9.0</v>
      </c>
      <c r="B16" s="18" t="s">
        <v>85</v>
      </c>
      <c r="C16" s="19" t="s">
        <v>81</v>
      </c>
      <c r="D16" s="20">
        <v>1.0</v>
      </c>
      <c r="E16" s="21">
        <v>4.0</v>
      </c>
      <c r="F16" s="35"/>
      <c r="G16" s="20" t="s">
        <v>56</v>
      </c>
      <c r="H16" s="23" t="s">
        <v>63</v>
      </c>
      <c r="I16" s="42" t="s">
        <v>86</v>
      </c>
      <c r="J16" s="43" t="s">
        <v>59</v>
      </c>
      <c r="K16" s="26" t="s">
        <v>87</v>
      </c>
    </row>
    <row r="17" ht="15.75" customHeight="1">
      <c r="A17" s="19">
        <v>10.0</v>
      </c>
      <c r="B17" s="18" t="s">
        <v>88</v>
      </c>
      <c r="C17" s="19" t="s">
        <v>81</v>
      </c>
      <c r="D17" s="20">
        <v>1.0</v>
      </c>
      <c r="E17" s="21">
        <v>4.0</v>
      </c>
      <c r="F17" s="35"/>
      <c r="G17" s="20" t="s">
        <v>56</v>
      </c>
      <c r="H17" s="23" t="s">
        <v>63</v>
      </c>
      <c r="I17" s="39"/>
      <c r="J17" s="21"/>
      <c r="K17" s="26" t="s">
        <v>89</v>
      </c>
    </row>
    <row r="18" ht="15.75" customHeight="1">
      <c r="A18" s="19">
        <v>11.0</v>
      </c>
      <c r="B18" s="26" t="s">
        <v>90</v>
      </c>
      <c r="C18" s="19" t="s">
        <v>91</v>
      </c>
      <c r="D18" s="20">
        <v>1.0</v>
      </c>
      <c r="E18" s="21"/>
      <c r="F18" s="35"/>
      <c r="G18" s="20" t="s">
        <v>56</v>
      </c>
      <c r="H18" s="23" t="s">
        <v>63</v>
      </c>
      <c r="I18" s="40" t="s">
        <v>64</v>
      </c>
      <c r="J18" s="44"/>
      <c r="K18" s="26" t="s">
        <v>92</v>
      </c>
    </row>
    <row r="19" ht="15.75" customHeight="1">
      <c r="A19" s="45">
        <v>12.0</v>
      </c>
      <c r="B19" s="46" t="s">
        <v>93</v>
      </c>
      <c r="C19" s="45" t="s">
        <v>55</v>
      </c>
      <c r="D19" s="20">
        <v>1.0</v>
      </c>
      <c r="E19" s="21">
        <v>2.0</v>
      </c>
      <c r="F19" s="35"/>
      <c r="G19" s="20" t="s">
        <v>62</v>
      </c>
      <c r="H19" s="36" t="s">
        <v>72</v>
      </c>
      <c r="I19" s="39"/>
      <c r="J19" s="44">
        <f t="shared" ref="J19:J21" si="1">IF(G19="Yes",D19*IF(F19="",E19,F19),0)</f>
        <v>0</v>
      </c>
      <c r="K19" s="47" t="s">
        <v>94</v>
      </c>
    </row>
    <row r="20" ht="15.75" customHeight="1">
      <c r="A20" s="45">
        <v>13.0</v>
      </c>
      <c r="B20" s="47" t="s">
        <v>95</v>
      </c>
      <c r="C20" s="45" t="s">
        <v>55</v>
      </c>
      <c r="D20" s="20">
        <v>1.0</v>
      </c>
      <c r="E20" s="21">
        <v>35.0</v>
      </c>
      <c r="F20" s="35"/>
      <c r="G20" s="20" t="s">
        <v>62</v>
      </c>
      <c r="H20" s="36" t="s">
        <v>72</v>
      </c>
      <c r="I20" s="39"/>
      <c r="J20" s="44">
        <f t="shared" si="1"/>
        <v>0</v>
      </c>
      <c r="K20" s="47" t="s">
        <v>96</v>
      </c>
    </row>
    <row r="21" ht="15.75" customHeight="1">
      <c r="A21" s="45">
        <v>14.0</v>
      </c>
      <c r="B21" s="46" t="s">
        <v>97</v>
      </c>
      <c r="C21" s="45" t="s">
        <v>55</v>
      </c>
      <c r="D21" s="20">
        <v>1.0</v>
      </c>
      <c r="E21" s="21">
        <v>12.0</v>
      </c>
      <c r="F21" s="35"/>
      <c r="G21" s="20" t="s">
        <v>62</v>
      </c>
      <c r="H21" s="36" t="s">
        <v>72</v>
      </c>
      <c r="I21" s="39"/>
      <c r="J21" s="44">
        <f t="shared" si="1"/>
        <v>0</v>
      </c>
      <c r="K21" s="47" t="s">
        <v>98</v>
      </c>
    </row>
    <row r="22" ht="15.75" customHeight="1">
      <c r="A22" s="45">
        <v>15.0</v>
      </c>
      <c r="B22" s="48" t="s">
        <v>99</v>
      </c>
      <c r="C22" s="45" t="s">
        <v>81</v>
      </c>
      <c r="D22" s="20">
        <v>1.0</v>
      </c>
      <c r="E22" s="49">
        <v>15.0</v>
      </c>
      <c r="F22" s="35"/>
      <c r="G22" s="27" t="s">
        <v>56</v>
      </c>
      <c r="H22" s="23" t="s">
        <v>63</v>
      </c>
      <c r="I22" s="40" t="s">
        <v>64</v>
      </c>
      <c r="J22" s="44"/>
      <c r="K22" s="47" t="s">
        <v>100</v>
      </c>
    </row>
    <row r="23" ht="15.75" customHeight="1">
      <c r="A23" s="50">
        <v>16.0</v>
      </c>
      <c r="B23" s="51" t="s">
        <v>101</v>
      </c>
      <c r="C23" s="52" t="s">
        <v>67</v>
      </c>
      <c r="D23" s="53">
        <v>1.0</v>
      </c>
      <c r="E23" s="54">
        <v>8.21</v>
      </c>
      <c r="F23" s="55"/>
      <c r="G23" s="27" t="s">
        <v>56</v>
      </c>
      <c r="H23" s="23" t="s">
        <v>63</v>
      </c>
      <c r="I23" s="40" t="s">
        <v>102</v>
      </c>
      <c r="J23" s="24" t="s">
        <v>103</v>
      </c>
      <c r="K23" s="26" t="s">
        <v>104</v>
      </c>
    </row>
    <row r="24" ht="15.75" customHeight="1">
      <c r="A24" s="50">
        <v>17.0</v>
      </c>
      <c r="B24" s="56" t="s">
        <v>105</v>
      </c>
      <c r="C24" s="52" t="s">
        <v>106</v>
      </c>
      <c r="D24" s="53">
        <v>1.0</v>
      </c>
      <c r="E24" s="57">
        <v>12.68</v>
      </c>
      <c r="F24" s="55"/>
      <c r="G24" s="27" t="s">
        <v>56</v>
      </c>
      <c r="H24" s="23" t="s">
        <v>63</v>
      </c>
      <c r="I24" s="40" t="s">
        <v>64</v>
      </c>
      <c r="J24" s="44"/>
      <c r="K24" s="18"/>
    </row>
    <row r="25" ht="15.75" customHeight="1">
      <c r="A25" s="50">
        <v>18.0</v>
      </c>
      <c r="B25" s="56" t="s">
        <v>107</v>
      </c>
      <c r="C25" s="52" t="s">
        <v>106</v>
      </c>
      <c r="D25" s="53">
        <v>1.0</v>
      </c>
      <c r="E25" s="57">
        <v>6.29</v>
      </c>
      <c r="F25" s="55"/>
      <c r="G25" s="27" t="s">
        <v>56</v>
      </c>
      <c r="H25" s="23" t="s">
        <v>63</v>
      </c>
      <c r="I25" s="24" t="s">
        <v>108</v>
      </c>
      <c r="J25" s="58" t="s">
        <v>109</v>
      </c>
      <c r="K25" s="18"/>
    </row>
    <row r="26" ht="15.75" customHeight="1">
      <c r="A26" s="50">
        <v>19.0</v>
      </c>
      <c r="B26" s="56" t="s">
        <v>110</v>
      </c>
      <c r="C26" s="52" t="s">
        <v>106</v>
      </c>
      <c r="D26" s="53">
        <v>1.0</v>
      </c>
      <c r="E26" s="57">
        <v>6.09</v>
      </c>
      <c r="F26" s="55"/>
      <c r="G26" s="27" t="s">
        <v>56</v>
      </c>
      <c r="H26" s="23" t="s">
        <v>63</v>
      </c>
      <c r="I26" s="41" t="s">
        <v>111</v>
      </c>
      <c r="J26" s="24" t="s">
        <v>112</v>
      </c>
      <c r="K26" s="18"/>
    </row>
    <row r="27" ht="15.75" customHeight="1">
      <c r="A27" s="50">
        <v>20.0</v>
      </c>
      <c r="B27" s="56" t="s">
        <v>113</v>
      </c>
      <c r="C27" s="52" t="s">
        <v>106</v>
      </c>
      <c r="D27" s="53">
        <v>1.0</v>
      </c>
      <c r="E27" s="57">
        <v>3.39</v>
      </c>
      <c r="F27" s="55"/>
      <c r="G27" s="27" t="s">
        <v>56</v>
      </c>
      <c r="H27" s="23" t="s">
        <v>63</v>
      </c>
      <c r="I27" s="40" t="s">
        <v>64</v>
      </c>
      <c r="J27" s="44"/>
      <c r="K27" s="18"/>
    </row>
    <row r="28" ht="15.75" customHeight="1">
      <c r="A28" s="50">
        <v>21.0</v>
      </c>
      <c r="B28" s="56" t="s">
        <v>114</v>
      </c>
      <c r="C28" s="52" t="s">
        <v>106</v>
      </c>
      <c r="D28" s="53">
        <v>1.0</v>
      </c>
      <c r="E28" s="57">
        <v>4.04</v>
      </c>
      <c r="F28" s="55"/>
      <c r="G28" s="27" t="s">
        <v>56</v>
      </c>
      <c r="H28" s="23" t="s">
        <v>63</v>
      </c>
      <c r="I28" s="40" t="s">
        <v>64</v>
      </c>
      <c r="J28" s="44"/>
      <c r="K28" s="18"/>
    </row>
    <row r="29" ht="15.75" customHeight="1">
      <c r="A29" s="59">
        <v>22.0</v>
      </c>
      <c r="B29" s="60" t="s">
        <v>115</v>
      </c>
      <c r="C29" s="61" t="s">
        <v>106</v>
      </c>
      <c r="D29" s="27">
        <v>1.0</v>
      </c>
      <c r="E29" s="38"/>
      <c r="F29" s="35"/>
      <c r="G29" s="27" t="s">
        <v>62</v>
      </c>
      <c r="H29" s="36" t="s">
        <v>72</v>
      </c>
      <c r="I29" s="40" t="s">
        <v>64</v>
      </c>
      <c r="J29" s="44">
        <f>IF(G29="Yes",D29*IF(F29="",E29,F29),0)</f>
        <v>0</v>
      </c>
      <c r="K29" s="47" t="s">
        <v>116</v>
      </c>
    </row>
    <row r="30" ht="15.75" customHeight="1">
      <c r="A30" s="59">
        <v>23.0</v>
      </c>
      <c r="B30" s="60" t="s">
        <v>117</v>
      </c>
      <c r="C30" s="61" t="s">
        <v>67</v>
      </c>
      <c r="D30" s="27">
        <v>1.0</v>
      </c>
      <c r="E30" s="21"/>
      <c r="F30" s="35"/>
      <c r="G30" s="27" t="s">
        <v>56</v>
      </c>
      <c r="H30" s="36" t="s">
        <v>57</v>
      </c>
      <c r="I30" s="42" t="s">
        <v>118</v>
      </c>
      <c r="J30" s="62" t="s">
        <v>59</v>
      </c>
      <c r="K30" s="47" t="s">
        <v>119</v>
      </c>
    </row>
    <row r="31" ht="15.75" customHeight="1">
      <c r="A31" s="45">
        <v>24.0</v>
      </c>
      <c r="B31" s="63"/>
      <c r="C31" s="45"/>
      <c r="D31" s="20"/>
      <c r="E31" s="21"/>
      <c r="F31" s="35"/>
      <c r="G31" s="20" t="s">
        <v>62</v>
      </c>
      <c r="H31" s="23" t="s">
        <v>63</v>
      </c>
      <c r="I31" s="39"/>
      <c r="J31" s="44">
        <f t="shared" ref="J31:J32" si="2">IF(G31="Yes",D31*IF(F31="",E31,F31),0)</f>
        <v>0</v>
      </c>
      <c r="K31" s="46"/>
    </row>
    <row r="32" ht="15.75" customHeight="1">
      <c r="A32" s="45">
        <v>25.0</v>
      </c>
      <c r="B32" s="46"/>
      <c r="C32" s="45"/>
      <c r="D32" s="20"/>
      <c r="E32" s="21"/>
      <c r="F32" s="35"/>
      <c r="G32" s="20" t="s">
        <v>62</v>
      </c>
      <c r="H32" s="23" t="s">
        <v>63</v>
      </c>
      <c r="I32" s="39"/>
      <c r="J32" s="44">
        <f t="shared" si="2"/>
        <v>0</v>
      </c>
      <c r="K32" s="46"/>
    </row>
    <row r="33" ht="15.75" customHeight="1">
      <c r="A33" s="19">
        <v>26.0</v>
      </c>
      <c r="B33" s="26"/>
      <c r="C33" s="19"/>
      <c r="D33" s="20"/>
      <c r="E33" s="21"/>
      <c r="F33" s="35"/>
      <c r="G33" s="27" t="s">
        <v>62</v>
      </c>
      <c r="H33" s="23" t="s">
        <v>63</v>
      </c>
      <c r="I33" s="39"/>
      <c r="J33" s="44"/>
      <c r="K33" s="18"/>
    </row>
    <row r="34" ht="15.75" customHeight="1">
      <c r="A34" s="19">
        <v>27.0</v>
      </c>
      <c r="B34" s="18"/>
      <c r="C34" s="19"/>
      <c r="D34" s="20"/>
      <c r="E34" s="21"/>
      <c r="F34" s="35"/>
      <c r="G34" s="27" t="s">
        <v>62</v>
      </c>
      <c r="H34" s="23" t="s">
        <v>63</v>
      </c>
      <c r="I34" s="39"/>
      <c r="J34" s="44"/>
      <c r="K34" s="18"/>
    </row>
    <row r="35" ht="15.75" customHeight="1">
      <c r="A35" s="19">
        <v>28.0</v>
      </c>
      <c r="B35" s="18"/>
      <c r="C35" s="19"/>
      <c r="D35" s="20"/>
      <c r="E35" s="21"/>
      <c r="F35" s="35"/>
      <c r="G35" s="27" t="s">
        <v>62</v>
      </c>
      <c r="H35" s="23" t="s">
        <v>63</v>
      </c>
      <c r="I35" s="39"/>
      <c r="J35" s="44"/>
      <c r="K35" s="18"/>
    </row>
    <row r="36" ht="15.75" customHeight="1">
      <c r="A36" s="19"/>
      <c r="B36" s="18"/>
      <c r="C36" s="19"/>
      <c r="D36" s="20"/>
      <c r="E36" s="21"/>
      <c r="F36" s="35"/>
      <c r="G36" s="27" t="s">
        <v>62</v>
      </c>
      <c r="H36" s="23" t="s">
        <v>63</v>
      </c>
      <c r="I36" s="39"/>
      <c r="J36" s="44"/>
      <c r="K36" s="18"/>
    </row>
    <row r="37" ht="15.75" customHeight="1">
      <c r="A37" s="19"/>
      <c r="B37" s="18"/>
      <c r="C37" s="19"/>
      <c r="D37" s="20"/>
      <c r="E37" s="21"/>
      <c r="F37" s="35"/>
      <c r="G37" s="27" t="s">
        <v>62</v>
      </c>
      <c r="H37" s="23" t="s">
        <v>63</v>
      </c>
      <c r="I37" s="39"/>
      <c r="J37" s="44"/>
      <c r="K37" s="18"/>
    </row>
    <row r="38" ht="15.75" customHeight="1">
      <c r="A38" s="19"/>
      <c r="B38" s="18"/>
      <c r="C38" s="19"/>
      <c r="D38" s="20"/>
      <c r="E38" s="21"/>
      <c r="F38" s="35"/>
      <c r="G38" s="27" t="s">
        <v>62</v>
      </c>
      <c r="H38" s="23" t="s">
        <v>63</v>
      </c>
      <c r="I38" s="39"/>
      <c r="J38" s="44"/>
      <c r="K38" s="18"/>
    </row>
    <row r="39" ht="15.75" customHeight="1">
      <c r="A39" s="45"/>
      <c r="B39" s="46"/>
      <c r="C39" s="45"/>
      <c r="D39" s="20"/>
      <c r="E39" s="21"/>
      <c r="F39" s="35"/>
      <c r="G39" s="20" t="s">
        <v>62</v>
      </c>
      <c r="H39" s="23" t="s">
        <v>63</v>
      </c>
      <c r="I39" s="39"/>
      <c r="J39" s="44">
        <f t="shared" ref="J39:J42" si="3">IF(G39="Yes",D39*IF(F39="",E39,F39),0)</f>
        <v>0</v>
      </c>
      <c r="K39" s="64"/>
    </row>
    <row r="40" ht="15.75" customHeight="1">
      <c r="A40" s="45"/>
      <c r="B40" s="46"/>
      <c r="C40" s="45"/>
      <c r="D40" s="20"/>
      <c r="E40" s="21"/>
      <c r="F40" s="35"/>
      <c r="G40" s="20" t="s">
        <v>62</v>
      </c>
      <c r="H40" s="36" t="s">
        <v>63</v>
      </c>
      <c r="I40" s="39"/>
      <c r="J40" s="44">
        <f t="shared" si="3"/>
        <v>0</v>
      </c>
      <c r="K40" s="64"/>
    </row>
    <row r="41" ht="15.75" customHeight="1">
      <c r="A41" s="45"/>
      <c r="B41" s="46"/>
      <c r="C41" s="45"/>
      <c r="D41" s="20"/>
      <c r="E41" s="21"/>
      <c r="F41" s="35"/>
      <c r="G41" s="20" t="s">
        <v>62</v>
      </c>
      <c r="H41" s="23" t="s">
        <v>63</v>
      </c>
      <c r="I41" s="39"/>
      <c r="J41" s="44">
        <f t="shared" si="3"/>
        <v>0</v>
      </c>
      <c r="K41" s="64"/>
    </row>
    <row r="42" ht="15.75" customHeight="1">
      <c r="A42" s="45"/>
      <c r="B42" s="46"/>
      <c r="C42" s="45"/>
      <c r="D42" s="20"/>
      <c r="E42" s="21"/>
      <c r="F42" s="35"/>
      <c r="G42" s="20" t="s">
        <v>62</v>
      </c>
      <c r="H42" s="23" t="s">
        <v>63</v>
      </c>
      <c r="I42" s="39"/>
      <c r="J42" s="44">
        <f t="shared" si="3"/>
        <v>0</v>
      </c>
      <c r="K42" s="64"/>
    </row>
    <row r="43" ht="15.75" customHeight="1">
      <c r="A43" s="19"/>
      <c r="B43" s="26"/>
      <c r="C43" s="19"/>
      <c r="D43" s="20"/>
      <c r="E43" s="21"/>
      <c r="F43" s="35"/>
      <c r="G43" s="27" t="s">
        <v>62</v>
      </c>
      <c r="H43" s="23" t="s">
        <v>63</v>
      </c>
      <c r="I43" s="39"/>
      <c r="J43" s="21"/>
      <c r="K43" s="18"/>
    </row>
    <row r="44" ht="15.75" customHeight="1">
      <c r="A44" s="19"/>
      <c r="B44" s="18"/>
      <c r="C44" s="19"/>
      <c r="D44" s="20"/>
      <c r="E44" s="21"/>
      <c r="F44" s="35"/>
      <c r="G44" s="27" t="s">
        <v>62</v>
      </c>
      <c r="H44" s="23" t="s">
        <v>63</v>
      </c>
      <c r="I44" s="39"/>
      <c r="J44" s="21"/>
      <c r="K44" s="18"/>
    </row>
    <row r="45" ht="15.75" customHeight="1">
      <c r="A45" s="19"/>
      <c r="B45" s="18"/>
      <c r="C45" s="19"/>
      <c r="D45" s="20"/>
      <c r="E45" s="21"/>
      <c r="F45" s="35"/>
      <c r="G45" s="27" t="s">
        <v>62</v>
      </c>
      <c r="H45" s="23" t="s">
        <v>63</v>
      </c>
      <c r="I45" s="39"/>
      <c r="J45" s="21"/>
      <c r="K45" s="18"/>
    </row>
    <row r="46" ht="15.75" customHeight="1">
      <c r="A46" s="19"/>
      <c r="B46" s="18"/>
      <c r="C46" s="19"/>
      <c r="D46" s="20"/>
      <c r="E46" s="21"/>
      <c r="F46" s="35"/>
      <c r="G46" s="27" t="s">
        <v>62</v>
      </c>
      <c r="H46" s="23" t="s">
        <v>63</v>
      </c>
      <c r="I46" s="39"/>
      <c r="J46" s="21"/>
      <c r="K46" s="18"/>
    </row>
    <row r="47" ht="15.75" customHeight="1">
      <c r="A47" s="19"/>
      <c r="B47" s="18"/>
      <c r="C47" s="19"/>
      <c r="D47" s="20"/>
      <c r="E47" s="21"/>
      <c r="F47" s="35"/>
      <c r="G47" s="27" t="s">
        <v>62</v>
      </c>
      <c r="H47" s="23" t="s">
        <v>63</v>
      </c>
      <c r="I47" s="39"/>
      <c r="J47" s="21"/>
      <c r="K47" s="18"/>
    </row>
    <row r="48" ht="15.75" customHeight="1">
      <c r="A48" s="19"/>
      <c r="B48" s="18"/>
      <c r="C48" s="19"/>
      <c r="D48" s="20"/>
      <c r="E48" s="21"/>
      <c r="F48" s="35"/>
      <c r="G48" s="27" t="s">
        <v>62</v>
      </c>
      <c r="H48" s="23" t="s">
        <v>63</v>
      </c>
      <c r="I48" s="39"/>
      <c r="J48" s="21"/>
      <c r="K48" s="18"/>
    </row>
    <row r="49" ht="15.75" customHeight="1">
      <c r="A49" s="45"/>
      <c r="B49" s="46"/>
      <c r="C49" s="45"/>
      <c r="D49" s="20"/>
      <c r="E49" s="21"/>
      <c r="F49" s="35"/>
      <c r="G49" s="20" t="s">
        <v>62</v>
      </c>
      <c r="H49" s="23" t="s">
        <v>63</v>
      </c>
      <c r="I49" s="39"/>
      <c r="J49" s="21">
        <f t="shared" ref="J49:J52" si="4">IF(G49="Yes",D49*IF(F49="",E49,F49),0)</f>
        <v>0</v>
      </c>
      <c r="K49" s="64"/>
    </row>
    <row r="50" ht="15.75" customHeight="1">
      <c r="A50" s="45"/>
      <c r="B50" s="46"/>
      <c r="C50" s="45"/>
      <c r="D50" s="20"/>
      <c r="E50" s="21"/>
      <c r="F50" s="35"/>
      <c r="G50" s="20" t="s">
        <v>62</v>
      </c>
      <c r="H50" s="36" t="s">
        <v>63</v>
      </c>
      <c r="I50" s="39"/>
      <c r="J50" s="21">
        <f t="shared" si="4"/>
        <v>0</v>
      </c>
      <c r="K50" s="64"/>
    </row>
    <row r="51" ht="15.75" customHeight="1">
      <c r="A51" s="45"/>
      <c r="B51" s="46"/>
      <c r="C51" s="45"/>
      <c r="D51" s="20"/>
      <c r="E51" s="21"/>
      <c r="F51" s="35"/>
      <c r="G51" s="20" t="s">
        <v>62</v>
      </c>
      <c r="H51" s="23" t="s">
        <v>63</v>
      </c>
      <c r="I51" s="39"/>
      <c r="J51" s="21">
        <f t="shared" si="4"/>
        <v>0</v>
      </c>
      <c r="K51" s="64"/>
    </row>
    <row r="52" ht="15.75" customHeight="1">
      <c r="A52" s="45"/>
      <c r="B52" s="46"/>
      <c r="C52" s="45"/>
      <c r="D52" s="20"/>
      <c r="E52" s="21"/>
      <c r="F52" s="35"/>
      <c r="G52" s="20" t="s">
        <v>62</v>
      </c>
      <c r="H52" s="23" t="s">
        <v>63</v>
      </c>
      <c r="I52" s="39"/>
      <c r="J52" s="21">
        <f t="shared" si="4"/>
        <v>0</v>
      </c>
      <c r="K52" s="64"/>
    </row>
    <row r="53" ht="15.75" customHeight="1">
      <c r="A53" s="19"/>
      <c r="B53" s="26"/>
      <c r="C53" s="19"/>
      <c r="D53" s="20"/>
      <c r="E53" s="21"/>
      <c r="F53" s="35"/>
      <c r="G53" s="27" t="s">
        <v>62</v>
      </c>
      <c r="H53" s="23" t="s">
        <v>63</v>
      </c>
      <c r="I53" s="39"/>
      <c r="J53" s="21"/>
      <c r="K53" s="18"/>
    </row>
    <row r="54" ht="15.75" customHeight="1">
      <c r="A54" s="19"/>
      <c r="B54" s="18"/>
      <c r="C54" s="19"/>
      <c r="D54" s="20"/>
      <c r="E54" s="21"/>
      <c r="F54" s="35"/>
      <c r="G54" s="27" t="s">
        <v>62</v>
      </c>
      <c r="H54" s="23" t="s">
        <v>63</v>
      </c>
      <c r="I54" s="39"/>
      <c r="J54" s="21"/>
      <c r="K54" s="18"/>
    </row>
    <row r="55" ht="15.75" customHeight="1">
      <c r="A55" s="19"/>
      <c r="B55" s="18"/>
      <c r="C55" s="19"/>
      <c r="D55" s="20"/>
      <c r="E55" s="21"/>
      <c r="F55" s="35"/>
      <c r="G55" s="27" t="s">
        <v>62</v>
      </c>
      <c r="H55" s="23" t="s">
        <v>63</v>
      </c>
      <c r="I55" s="39"/>
      <c r="J55" s="21"/>
      <c r="K55" s="18"/>
    </row>
    <row r="56" ht="15.75" customHeight="1">
      <c r="A56" s="19"/>
      <c r="B56" s="18"/>
      <c r="C56" s="19"/>
      <c r="D56" s="20"/>
      <c r="E56" s="21"/>
      <c r="F56" s="35"/>
      <c r="G56" s="27" t="s">
        <v>62</v>
      </c>
      <c r="H56" s="23" t="s">
        <v>63</v>
      </c>
      <c r="I56" s="39"/>
      <c r="J56" s="21"/>
      <c r="K56" s="18"/>
    </row>
    <row r="57" ht="15.75" customHeight="1">
      <c r="A57" s="19"/>
      <c r="B57" s="18"/>
      <c r="C57" s="19"/>
      <c r="D57" s="20"/>
      <c r="E57" s="21"/>
      <c r="F57" s="35"/>
      <c r="G57" s="27" t="s">
        <v>62</v>
      </c>
      <c r="H57" s="23" t="s">
        <v>63</v>
      </c>
      <c r="I57" s="39"/>
      <c r="J57" s="21"/>
      <c r="K57" s="18"/>
    </row>
    <row r="58" ht="15.75" customHeight="1">
      <c r="A58" s="19"/>
      <c r="B58" s="18"/>
      <c r="C58" s="19"/>
      <c r="D58" s="20"/>
      <c r="E58" s="21"/>
      <c r="F58" s="35"/>
      <c r="G58" s="27" t="s">
        <v>62</v>
      </c>
      <c r="H58" s="23" t="s">
        <v>63</v>
      </c>
      <c r="I58" s="39"/>
      <c r="J58" s="21"/>
      <c r="K58" s="18"/>
    </row>
    <row r="59" ht="15.75" customHeight="1">
      <c r="A59" s="45"/>
      <c r="B59" s="46"/>
      <c r="C59" s="45"/>
      <c r="D59" s="20"/>
      <c r="E59" s="21"/>
      <c r="F59" s="35"/>
      <c r="G59" s="20" t="s">
        <v>62</v>
      </c>
      <c r="H59" s="23" t="s">
        <v>63</v>
      </c>
      <c r="I59" s="39"/>
      <c r="J59" s="21">
        <f t="shared" ref="J59:J62" si="5">IF(G59="Yes",D59*IF(F59="",E59,F59),0)</f>
        <v>0</v>
      </c>
      <c r="K59" s="64"/>
    </row>
    <row r="60" ht="15.75" customHeight="1">
      <c r="A60" s="65"/>
      <c r="B60" s="66"/>
      <c r="C60" s="65"/>
      <c r="D60" s="67"/>
      <c r="E60" s="68"/>
      <c r="F60" s="35"/>
      <c r="G60" s="67" t="s">
        <v>62</v>
      </c>
      <c r="H60" s="69" t="s">
        <v>63</v>
      </c>
      <c r="I60" s="70"/>
      <c r="J60" s="68">
        <f t="shared" si="5"/>
        <v>0</v>
      </c>
      <c r="K60" s="71"/>
    </row>
    <row r="61" ht="15.75" customHeight="1">
      <c r="A61" s="65"/>
      <c r="B61" s="66"/>
      <c r="C61" s="65"/>
      <c r="D61" s="67"/>
      <c r="E61" s="68"/>
      <c r="F61" s="35"/>
      <c r="G61" s="67" t="s">
        <v>62</v>
      </c>
      <c r="H61" s="72" t="s">
        <v>63</v>
      </c>
      <c r="I61" s="70"/>
      <c r="J61" s="68">
        <f t="shared" si="5"/>
        <v>0</v>
      </c>
      <c r="K61" s="71"/>
    </row>
    <row r="62" ht="15.75" customHeight="1">
      <c r="A62" s="65"/>
      <c r="B62" s="66"/>
      <c r="C62" s="65"/>
      <c r="D62" s="67"/>
      <c r="E62" s="68"/>
      <c r="F62" s="35"/>
      <c r="G62" s="67" t="s">
        <v>62</v>
      </c>
      <c r="H62" s="72" t="s">
        <v>63</v>
      </c>
      <c r="I62" s="70"/>
      <c r="J62" s="73">
        <f t="shared" si="5"/>
        <v>0</v>
      </c>
      <c r="K62" s="71"/>
    </row>
    <row r="63" ht="15.75" customHeight="1">
      <c r="A63" s="74"/>
      <c r="B63" s="75"/>
      <c r="C63" s="74"/>
      <c r="D63" s="67"/>
      <c r="E63" s="68"/>
      <c r="F63" s="35"/>
      <c r="G63" s="76" t="s">
        <v>62</v>
      </c>
      <c r="H63" s="72" t="s">
        <v>63</v>
      </c>
      <c r="I63" s="70"/>
      <c r="J63" s="73"/>
      <c r="K63" s="77"/>
    </row>
    <row r="64" ht="15.75" customHeight="1">
      <c r="A64" s="74"/>
      <c r="B64" s="77"/>
      <c r="C64" s="74"/>
      <c r="D64" s="67"/>
      <c r="E64" s="68"/>
      <c r="F64" s="35"/>
      <c r="G64" s="76" t="s">
        <v>62</v>
      </c>
      <c r="H64" s="72" t="s">
        <v>63</v>
      </c>
      <c r="I64" s="70"/>
      <c r="J64" s="73"/>
      <c r="K64" s="77"/>
    </row>
    <row r="65" ht="15.75" customHeight="1">
      <c r="A65" s="74"/>
      <c r="B65" s="77"/>
      <c r="C65" s="74"/>
      <c r="D65" s="67"/>
      <c r="E65" s="68"/>
      <c r="F65" s="35"/>
      <c r="G65" s="76" t="s">
        <v>62</v>
      </c>
      <c r="H65" s="72" t="s">
        <v>63</v>
      </c>
      <c r="I65" s="70"/>
      <c r="J65" s="73"/>
      <c r="K65" s="77"/>
    </row>
    <row r="66" ht="15.75" customHeight="1">
      <c r="A66" s="74"/>
      <c r="B66" s="77"/>
      <c r="C66" s="74"/>
      <c r="D66" s="67"/>
      <c r="E66" s="68"/>
      <c r="F66" s="35"/>
      <c r="G66" s="76" t="s">
        <v>62</v>
      </c>
      <c r="H66" s="72" t="s">
        <v>63</v>
      </c>
      <c r="I66" s="70"/>
      <c r="J66" s="73"/>
      <c r="K66" s="77"/>
    </row>
    <row r="67" ht="15.75" customHeight="1">
      <c r="A67" s="74"/>
      <c r="B67" s="77"/>
      <c r="C67" s="74"/>
      <c r="D67" s="67"/>
      <c r="E67" s="68"/>
      <c r="F67" s="35"/>
      <c r="G67" s="76" t="s">
        <v>62</v>
      </c>
      <c r="H67" s="72" t="s">
        <v>63</v>
      </c>
      <c r="I67" s="70"/>
      <c r="J67" s="73"/>
      <c r="K67" s="77"/>
    </row>
    <row r="68" ht="15.75" customHeight="1">
      <c r="A68" s="74"/>
      <c r="B68" s="77"/>
      <c r="C68" s="74"/>
      <c r="D68" s="67"/>
      <c r="E68" s="68"/>
      <c r="F68" s="35"/>
      <c r="G68" s="76" t="s">
        <v>62</v>
      </c>
      <c r="H68" s="72" t="s">
        <v>63</v>
      </c>
      <c r="I68" s="70"/>
      <c r="J68" s="73"/>
      <c r="K68" s="77"/>
    </row>
    <row r="69" ht="15.75" customHeight="1">
      <c r="A69" s="65"/>
      <c r="B69" s="66"/>
      <c r="C69" s="65"/>
      <c r="D69" s="67"/>
      <c r="E69" s="68"/>
      <c r="F69" s="35"/>
      <c r="G69" s="67" t="s">
        <v>62</v>
      </c>
      <c r="H69" s="72" t="s">
        <v>63</v>
      </c>
      <c r="I69" s="70"/>
      <c r="J69" s="73">
        <f t="shared" ref="J69:J72" si="6">IF(G69="Yes",D69*IF(F69="",E69,F69),0)</f>
        <v>0</v>
      </c>
      <c r="K69" s="71"/>
    </row>
    <row r="70" ht="15.75" customHeight="1">
      <c r="A70" s="65"/>
      <c r="B70" s="66"/>
      <c r="C70" s="65"/>
      <c r="D70" s="67"/>
      <c r="E70" s="68"/>
      <c r="F70" s="35"/>
      <c r="G70" s="67" t="s">
        <v>62</v>
      </c>
      <c r="H70" s="69" t="s">
        <v>63</v>
      </c>
      <c r="I70" s="70"/>
      <c r="J70" s="73">
        <f t="shared" si="6"/>
        <v>0</v>
      </c>
      <c r="K70" s="71"/>
    </row>
    <row r="71" ht="15.75" customHeight="1">
      <c r="A71" s="65"/>
      <c r="B71" s="66"/>
      <c r="C71" s="65"/>
      <c r="D71" s="67"/>
      <c r="E71" s="68"/>
      <c r="F71" s="35"/>
      <c r="G71" s="67" t="s">
        <v>62</v>
      </c>
      <c r="H71" s="72" t="s">
        <v>63</v>
      </c>
      <c r="I71" s="70"/>
      <c r="J71" s="73">
        <f t="shared" si="6"/>
        <v>0</v>
      </c>
      <c r="K71" s="71"/>
    </row>
    <row r="72" ht="15.75" customHeight="1">
      <c r="A72" s="65"/>
      <c r="B72" s="66"/>
      <c r="C72" s="65"/>
      <c r="D72" s="67"/>
      <c r="E72" s="68"/>
      <c r="F72" s="35"/>
      <c r="G72" s="67" t="s">
        <v>62</v>
      </c>
      <c r="H72" s="72" t="s">
        <v>63</v>
      </c>
      <c r="I72" s="70"/>
      <c r="J72" s="73">
        <f t="shared" si="6"/>
        <v>0</v>
      </c>
      <c r="K72" s="71"/>
    </row>
    <row r="73" ht="15.75" customHeight="1">
      <c r="B73" s="78" t="s">
        <v>105</v>
      </c>
      <c r="C73" s="79">
        <v>12.68</v>
      </c>
      <c r="D73" s="78" t="s">
        <v>64</v>
      </c>
      <c r="E73" s="78"/>
      <c r="F73" s="80" t="s">
        <v>120</v>
      </c>
      <c r="G73" s="81"/>
      <c r="I73" s="6"/>
    </row>
    <row r="74" ht="15.75" customHeight="1">
      <c r="B74" s="78" t="s">
        <v>107</v>
      </c>
      <c r="C74" s="79">
        <v>6.29</v>
      </c>
      <c r="D74" s="82">
        <v>8.0</v>
      </c>
      <c r="E74" s="78"/>
      <c r="F74" s="80" t="s">
        <v>109</v>
      </c>
      <c r="G74" s="81"/>
      <c r="I74" s="6"/>
    </row>
    <row r="75" ht="15.75" customHeight="1">
      <c r="B75" s="78" t="s">
        <v>110</v>
      </c>
      <c r="C75" s="79">
        <v>6.09</v>
      </c>
      <c r="D75" s="82">
        <v>2.0</v>
      </c>
      <c r="E75" s="78" t="s">
        <v>121</v>
      </c>
      <c r="F75" s="80" t="s">
        <v>122</v>
      </c>
      <c r="G75" s="81"/>
      <c r="I75" s="6"/>
    </row>
    <row r="76" ht="15.75" customHeight="1">
      <c r="B76" s="78" t="s">
        <v>113</v>
      </c>
      <c r="C76" s="79">
        <v>3.39</v>
      </c>
      <c r="D76" s="82">
        <v>2.0</v>
      </c>
      <c r="E76" s="78" t="s">
        <v>123</v>
      </c>
      <c r="F76" s="83" t="s">
        <v>124</v>
      </c>
      <c r="G76" s="81"/>
      <c r="I76" s="6"/>
    </row>
    <row r="77" ht="15.75" customHeight="1">
      <c r="B77" s="78" t="s">
        <v>114</v>
      </c>
      <c r="C77" s="79">
        <v>4.04</v>
      </c>
      <c r="D77" s="82">
        <v>2.0</v>
      </c>
      <c r="E77" s="78"/>
      <c r="F77" s="84" t="s">
        <v>125</v>
      </c>
      <c r="G77" s="81"/>
      <c r="I77" s="6"/>
    </row>
    <row r="78" ht="15.75" customHeight="1">
      <c r="I78" s="6"/>
    </row>
    <row r="79" ht="15.75" customHeight="1">
      <c r="I79" s="6"/>
    </row>
    <row r="80" ht="15.75" customHeight="1">
      <c r="I80" s="6"/>
    </row>
    <row r="81" ht="15.75" customHeight="1">
      <c r="I81" s="6"/>
    </row>
    <row r="82" ht="15.75" customHeight="1">
      <c r="I82" s="6"/>
    </row>
    <row r="83" ht="15.75" customHeight="1">
      <c r="I83" s="6"/>
    </row>
    <row r="84" ht="15.75" customHeight="1">
      <c r="I84" s="6"/>
    </row>
    <row r="85" ht="15.75" customHeight="1">
      <c r="I85" s="6"/>
    </row>
    <row r="86" ht="15.75" customHeight="1">
      <c r="I86" s="6"/>
    </row>
    <row r="87" ht="15.75" customHeight="1">
      <c r="I87" s="6"/>
    </row>
    <row r="88" ht="15.75" customHeight="1">
      <c r="I88" s="6"/>
    </row>
    <row r="89" ht="15.75" customHeight="1">
      <c r="I89" s="6"/>
    </row>
    <row r="90" ht="15.75" customHeight="1">
      <c r="I90" s="6"/>
    </row>
    <row r="91" ht="15.75" customHeight="1">
      <c r="I91" s="6"/>
    </row>
    <row r="92" ht="15.75" customHeight="1">
      <c r="I92" s="6"/>
    </row>
    <row r="93" ht="15.75" customHeight="1">
      <c r="I93" s="6"/>
    </row>
    <row r="94" ht="15.75" customHeight="1">
      <c r="I94" s="6"/>
    </row>
    <row r="95" ht="15.75" customHeight="1">
      <c r="I95" s="6"/>
    </row>
    <row r="96" ht="15.75" customHeight="1">
      <c r="I96" s="6"/>
    </row>
    <row r="97" ht="15.75" customHeight="1">
      <c r="I97" s="6"/>
    </row>
    <row r="98" ht="15.75" customHeight="1">
      <c r="I98" s="6"/>
    </row>
    <row r="99" ht="15.75" customHeight="1">
      <c r="I99" s="6"/>
    </row>
    <row r="100" ht="15.75" customHeight="1">
      <c r="I100" s="6"/>
    </row>
    <row r="101" ht="15.75" customHeight="1">
      <c r="I101" s="6"/>
    </row>
    <row r="102" ht="15.75" customHeight="1">
      <c r="I102" s="6"/>
    </row>
    <row r="103" ht="15.75" customHeight="1">
      <c r="I103" s="6"/>
    </row>
    <row r="104" ht="15.75" customHeight="1">
      <c r="I104" s="6"/>
    </row>
    <row r="105" ht="15.75" customHeight="1">
      <c r="I105" s="6"/>
    </row>
    <row r="106" ht="15.75" customHeight="1">
      <c r="I106" s="6"/>
    </row>
    <row r="107" ht="15.75" customHeight="1">
      <c r="I107" s="6"/>
    </row>
    <row r="108" ht="15.75" customHeight="1">
      <c r="I108" s="6"/>
    </row>
    <row r="109" ht="15.75" customHeight="1">
      <c r="I109" s="6"/>
    </row>
    <row r="110" ht="15.75" customHeight="1">
      <c r="I110" s="6"/>
    </row>
    <row r="111" ht="15.75" customHeight="1">
      <c r="I111" s="6"/>
    </row>
    <row r="112" ht="15.75" customHeight="1">
      <c r="I112" s="6"/>
    </row>
    <row r="113" ht="15.75" customHeight="1">
      <c r="I113" s="6"/>
    </row>
    <row r="114" ht="15.75" customHeight="1">
      <c r="I114" s="6"/>
    </row>
    <row r="115" ht="15.75" customHeight="1">
      <c r="I115" s="6"/>
    </row>
    <row r="116" ht="15.75" customHeight="1">
      <c r="I116" s="6"/>
    </row>
    <row r="117" ht="15.75" customHeight="1">
      <c r="I117" s="6"/>
    </row>
    <row r="118" ht="15.75" customHeight="1">
      <c r="I118" s="6"/>
    </row>
    <row r="119" ht="15.75" customHeight="1">
      <c r="I119" s="6"/>
    </row>
    <row r="120" ht="15.75" customHeight="1">
      <c r="I120" s="6"/>
    </row>
    <row r="121" ht="15.75" customHeight="1">
      <c r="I121" s="6"/>
    </row>
    <row r="122" ht="15.75" customHeight="1">
      <c r="I122" s="6"/>
    </row>
    <row r="123" ht="15.75" customHeight="1">
      <c r="I123" s="6"/>
    </row>
    <row r="124" ht="15.75" customHeight="1">
      <c r="I124" s="6"/>
    </row>
    <row r="125" ht="15.75" customHeight="1">
      <c r="I125" s="6"/>
    </row>
    <row r="126" ht="15.75" customHeight="1">
      <c r="I126" s="6"/>
    </row>
    <row r="127" ht="15.75" customHeight="1">
      <c r="I127" s="6"/>
    </row>
    <row r="128" ht="15.75" customHeight="1">
      <c r="I128" s="6"/>
    </row>
    <row r="129" ht="15.75" customHeight="1">
      <c r="I129" s="6"/>
    </row>
    <row r="130" ht="15.75" customHeight="1">
      <c r="I130" s="6"/>
    </row>
    <row r="131" ht="15.75" customHeight="1">
      <c r="I131" s="6"/>
    </row>
    <row r="132" ht="15.75" customHeight="1">
      <c r="I132" s="6"/>
    </row>
    <row r="133" ht="15.75" customHeight="1">
      <c r="I133" s="6"/>
    </row>
    <row r="134" ht="15.75" customHeight="1">
      <c r="I134" s="6"/>
    </row>
    <row r="135" ht="15.75" customHeight="1">
      <c r="I135" s="6"/>
    </row>
    <row r="136" ht="15.75" customHeight="1">
      <c r="I136" s="6"/>
    </row>
    <row r="137" ht="15.75" customHeight="1">
      <c r="I137" s="6"/>
    </row>
    <row r="138" ht="15.75" customHeight="1">
      <c r="I138" s="6"/>
    </row>
    <row r="139" ht="15.75" customHeight="1">
      <c r="I139" s="6"/>
    </row>
    <row r="140" ht="15.75" customHeight="1">
      <c r="I140" s="6"/>
    </row>
    <row r="141" ht="15.75" customHeight="1">
      <c r="I141" s="6"/>
    </row>
    <row r="142" ht="15.75" customHeight="1">
      <c r="I142" s="6"/>
    </row>
    <row r="143" ht="15.75" customHeight="1">
      <c r="I143" s="6"/>
    </row>
    <row r="144" ht="15.75" customHeight="1">
      <c r="I144" s="6"/>
    </row>
    <row r="145" ht="15.75" customHeight="1">
      <c r="I145" s="6"/>
    </row>
    <row r="146" ht="15.75" customHeight="1">
      <c r="I146" s="6"/>
    </row>
    <row r="147" ht="15.75" customHeight="1">
      <c r="I147" s="6"/>
    </row>
    <row r="148" ht="15.75" customHeight="1">
      <c r="I148" s="6"/>
    </row>
    <row r="149" ht="15.75" customHeight="1">
      <c r="I149" s="6"/>
    </row>
    <row r="150" ht="15.75" customHeight="1">
      <c r="I150" s="6"/>
    </row>
    <row r="151" ht="15.75" customHeight="1">
      <c r="I151" s="6"/>
    </row>
    <row r="152" ht="15.75" customHeight="1">
      <c r="I152" s="6"/>
    </row>
    <row r="153" ht="15.75" customHeight="1">
      <c r="I153" s="6"/>
    </row>
    <row r="154" ht="15.75" customHeight="1">
      <c r="I154" s="6"/>
    </row>
    <row r="155" ht="15.75" customHeight="1">
      <c r="I155" s="6"/>
    </row>
    <row r="156" ht="15.75" customHeight="1">
      <c r="I156" s="6"/>
    </row>
    <row r="157" ht="15.75" customHeight="1">
      <c r="I157" s="6"/>
    </row>
    <row r="158" ht="15.75" customHeight="1">
      <c r="I158" s="6"/>
    </row>
    <row r="159" ht="15.75" customHeight="1">
      <c r="I159" s="6"/>
    </row>
    <row r="160" ht="15.75" customHeight="1">
      <c r="I160" s="6"/>
    </row>
    <row r="161" ht="15.75" customHeight="1">
      <c r="I161" s="6"/>
    </row>
    <row r="162" ht="15.75" customHeight="1">
      <c r="I162" s="6"/>
    </row>
    <row r="163" ht="15.75" customHeight="1">
      <c r="I163" s="6"/>
    </row>
    <row r="164" ht="15.75" customHeight="1">
      <c r="I164" s="6"/>
    </row>
    <row r="165" ht="15.75" customHeight="1">
      <c r="I165" s="6"/>
    </row>
    <row r="166" ht="15.75" customHeight="1">
      <c r="I166" s="6"/>
    </row>
    <row r="167" ht="15.75" customHeight="1">
      <c r="I167" s="6"/>
    </row>
    <row r="168" ht="15.75" customHeight="1">
      <c r="I168" s="6"/>
    </row>
    <row r="169" ht="15.75" customHeight="1">
      <c r="I169" s="6"/>
    </row>
    <row r="170" ht="15.75" customHeight="1">
      <c r="I170" s="6"/>
    </row>
    <row r="171" ht="15.75" customHeight="1">
      <c r="I171" s="6"/>
    </row>
    <row r="172" ht="15.75" customHeight="1">
      <c r="I172" s="6"/>
    </row>
    <row r="173" ht="15.75" customHeight="1">
      <c r="I173" s="6"/>
    </row>
    <row r="174" ht="15.75" customHeight="1">
      <c r="I174" s="6"/>
    </row>
    <row r="175" ht="15.75" customHeight="1">
      <c r="I175" s="6"/>
    </row>
    <row r="176" ht="15.75" customHeight="1">
      <c r="I176" s="6"/>
    </row>
    <row r="177" ht="15.75" customHeight="1">
      <c r="I177" s="6"/>
    </row>
    <row r="178" ht="15.75" customHeight="1">
      <c r="I178" s="6"/>
    </row>
    <row r="179" ht="15.75" customHeight="1">
      <c r="I179" s="6"/>
    </row>
    <row r="180" ht="15.75" customHeight="1">
      <c r="I180" s="6"/>
    </row>
    <row r="181" ht="15.75" customHeight="1">
      <c r="I181" s="6"/>
    </row>
    <row r="182" ht="15.75" customHeight="1">
      <c r="I182" s="6"/>
    </row>
    <row r="183" ht="15.75" customHeight="1">
      <c r="I183" s="6"/>
    </row>
    <row r="184" ht="15.75" customHeight="1">
      <c r="I184" s="6"/>
    </row>
    <row r="185" ht="15.75" customHeight="1">
      <c r="I185" s="6"/>
    </row>
    <row r="186" ht="15.75" customHeight="1">
      <c r="I186" s="6"/>
    </row>
    <row r="187" ht="15.75" customHeight="1">
      <c r="I187" s="6"/>
    </row>
    <row r="188" ht="15.75" customHeight="1">
      <c r="I188" s="6"/>
    </row>
    <row r="189" ht="15.75" customHeight="1">
      <c r="I189" s="6"/>
    </row>
    <row r="190" ht="15.75" customHeight="1">
      <c r="I190" s="6"/>
    </row>
    <row r="191" ht="15.75" customHeight="1">
      <c r="I191" s="6"/>
    </row>
    <row r="192" ht="15.75" customHeight="1">
      <c r="I192" s="6"/>
    </row>
    <row r="193" ht="15.75" customHeight="1">
      <c r="I193" s="6"/>
    </row>
    <row r="194" ht="15.75" customHeight="1">
      <c r="I194" s="6"/>
    </row>
    <row r="195" ht="15.75" customHeight="1">
      <c r="I195" s="6"/>
    </row>
    <row r="196" ht="15.75" customHeight="1">
      <c r="I196" s="6"/>
    </row>
    <row r="197" ht="15.75" customHeight="1">
      <c r="I197" s="6"/>
    </row>
    <row r="198" ht="15.75" customHeight="1">
      <c r="I198" s="6"/>
    </row>
    <row r="199" ht="15.75" customHeight="1">
      <c r="I199" s="6"/>
    </row>
    <row r="200" ht="15.75" customHeight="1">
      <c r="I200" s="6"/>
    </row>
    <row r="201" ht="15.75" customHeight="1">
      <c r="I201" s="6"/>
    </row>
    <row r="202" ht="15.75" customHeight="1">
      <c r="I202" s="6"/>
    </row>
    <row r="203" ht="15.75" customHeight="1">
      <c r="I203" s="6"/>
    </row>
    <row r="204" ht="15.75" customHeight="1">
      <c r="I204" s="6"/>
    </row>
    <row r="205" ht="15.75" customHeight="1">
      <c r="I205" s="6"/>
    </row>
    <row r="206" ht="15.75" customHeight="1">
      <c r="I206" s="6"/>
    </row>
    <row r="207" ht="15.75" customHeight="1">
      <c r="I207" s="6"/>
    </row>
    <row r="208" ht="15.75" customHeight="1">
      <c r="I208" s="6"/>
    </row>
    <row r="209" ht="15.75" customHeight="1">
      <c r="I209" s="6"/>
    </row>
    <row r="210" ht="15.75" customHeight="1">
      <c r="I210" s="6"/>
    </row>
    <row r="211" ht="15.75" customHeight="1">
      <c r="I211" s="6"/>
    </row>
    <row r="212" ht="15.75" customHeight="1">
      <c r="I212" s="6"/>
    </row>
    <row r="213" ht="15.75" customHeight="1">
      <c r="I213" s="6"/>
    </row>
    <row r="214" ht="15.75" customHeight="1">
      <c r="I214" s="6"/>
    </row>
    <row r="215" ht="15.75" customHeight="1">
      <c r="I215" s="6"/>
    </row>
    <row r="216" ht="15.75" customHeight="1">
      <c r="I216" s="6"/>
    </row>
    <row r="217" ht="15.75" customHeight="1">
      <c r="I217" s="6"/>
    </row>
    <row r="218" ht="15.75" customHeight="1">
      <c r="I218" s="6"/>
    </row>
    <row r="219" ht="15.75" customHeight="1">
      <c r="I219" s="6"/>
    </row>
    <row r="220" ht="15.75" customHeight="1">
      <c r="I220" s="6"/>
    </row>
    <row r="221" ht="15.75" customHeight="1">
      <c r="I221" s="6"/>
    </row>
    <row r="222" ht="15.75" customHeight="1">
      <c r="I222" s="6"/>
    </row>
    <row r="223" ht="15.75" customHeight="1">
      <c r="I223" s="6"/>
    </row>
    <row r="224" ht="15.75" customHeight="1">
      <c r="I224" s="6"/>
    </row>
    <row r="225" ht="15.75" customHeight="1">
      <c r="I225" s="6"/>
    </row>
    <row r="226" ht="15.75" customHeight="1">
      <c r="I226" s="6"/>
    </row>
    <row r="227" ht="15.75" customHeight="1">
      <c r="I227" s="6"/>
    </row>
    <row r="228" ht="15.75" customHeight="1">
      <c r="I228" s="6"/>
    </row>
    <row r="229" ht="15.75" customHeight="1">
      <c r="I229" s="6"/>
    </row>
    <row r="230" ht="15.75" customHeight="1">
      <c r="I230" s="6"/>
    </row>
    <row r="231" ht="15.75" customHeight="1">
      <c r="I231" s="6"/>
    </row>
    <row r="232" ht="15.75" customHeight="1">
      <c r="I232" s="6"/>
    </row>
    <row r="233" ht="15.75" customHeight="1">
      <c r="I233" s="6"/>
    </row>
    <row r="234" ht="15.75" customHeight="1">
      <c r="I234" s="6"/>
    </row>
    <row r="235" ht="15.75" customHeight="1">
      <c r="I235" s="6"/>
    </row>
    <row r="236" ht="15.75" customHeight="1">
      <c r="I236" s="6"/>
    </row>
    <row r="237" ht="15.75" customHeight="1">
      <c r="I237" s="6"/>
    </row>
    <row r="238" ht="15.75" customHeight="1">
      <c r="I238" s="6"/>
    </row>
    <row r="239" ht="15.75" customHeight="1">
      <c r="I239" s="6"/>
    </row>
    <row r="240" ht="15.75" customHeight="1">
      <c r="I240" s="6"/>
    </row>
    <row r="241" ht="15.75" customHeight="1">
      <c r="I241" s="6"/>
    </row>
    <row r="242" ht="15.75" customHeight="1">
      <c r="I242" s="6"/>
    </row>
    <row r="243" ht="15.75" customHeight="1">
      <c r="I243" s="6"/>
    </row>
    <row r="244" ht="15.75" customHeight="1">
      <c r="I244" s="6"/>
    </row>
    <row r="245" ht="15.75" customHeight="1">
      <c r="I245" s="6"/>
    </row>
    <row r="246" ht="15.75" customHeight="1">
      <c r="I246" s="6"/>
    </row>
    <row r="247" ht="15.75" customHeight="1">
      <c r="I247" s="6"/>
    </row>
    <row r="248" ht="15.75" customHeight="1">
      <c r="I248" s="6"/>
    </row>
    <row r="249" ht="15.75" customHeight="1">
      <c r="I249" s="6"/>
    </row>
    <row r="250" ht="15.75" customHeight="1">
      <c r="I250" s="6"/>
    </row>
    <row r="251" ht="15.75" customHeight="1">
      <c r="I251" s="6"/>
    </row>
    <row r="252" ht="15.75" customHeight="1">
      <c r="I252" s="6"/>
    </row>
    <row r="253" ht="15.75" customHeight="1">
      <c r="I253" s="6"/>
    </row>
    <row r="254" ht="15.75" customHeight="1">
      <c r="I254" s="6"/>
    </row>
    <row r="255" ht="15.75" customHeight="1">
      <c r="I255" s="6"/>
    </row>
    <row r="256" ht="15.75" customHeight="1">
      <c r="I256" s="6"/>
    </row>
    <row r="257" ht="15.75" customHeight="1">
      <c r="I257" s="6"/>
    </row>
    <row r="258" ht="15.75" customHeight="1">
      <c r="I258" s="6"/>
    </row>
    <row r="259" ht="15.75" customHeight="1">
      <c r="I259" s="6"/>
    </row>
    <row r="260" ht="15.75" customHeight="1">
      <c r="I260" s="6"/>
    </row>
    <row r="261" ht="15.75" customHeight="1">
      <c r="I261" s="6"/>
    </row>
    <row r="262" ht="15.75" customHeight="1">
      <c r="I262" s="6"/>
    </row>
    <row r="263" ht="15.75" customHeight="1">
      <c r="I263" s="6"/>
    </row>
    <row r="264" ht="15.75" customHeight="1">
      <c r="I264" s="6"/>
    </row>
    <row r="265" ht="15.75" customHeight="1">
      <c r="I265" s="6"/>
    </row>
    <row r="266" ht="15.75" customHeight="1">
      <c r="I266" s="6"/>
    </row>
    <row r="267" ht="15.75" customHeight="1">
      <c r="I267" s="6"/>
    </row>
    <row r="268" ht="15.75" customHeight="1">
      <c r="I268" s="6"/>
    </row>
    <row r="269" ht="15.75" customHeight="1">
      <c r="I269" s="6"/>
    </row>
    <row r="270" ht="15.75" customHeight="1">
      <c r="I270" s="6"/>
    </row>
    <row r="271" ht="15.75" customHeight="1">
      <c r="I271" s="6"/>
    </row>
    <row r="272" ht="15.75" customHeight="1">
      <c r="I272" s="6"/>
    </row>
    <row r="273" ht="15.75" customHeight="1">
      <c r="I273" s="6"/>
    </row>
    <row r="274" ht="15.75" customHeight="1">
      <c r="I274" s="6"/>
    </row>
    <row r="275" ht="15.75" customHeight="1">
      <c r="I275" s="6"/>
    </row>
    <row r="276" ht="15.75" customHeight="1">
      <c r="I276" s="6"/>
    </row>
    <row r="277" ht="15.75" customHeight="1">
      <c r="I277" s="6"/>
    </row>
    <row r="278" ht="15.75" customHeight="1">
      <c r="I278" s="6"/>
    </row>
    <row r="279" ht="15.75" customHeight="1">
      <c r="I279" s="6"/>
    </row>
    <row r="280" ht="15.75" customHeight="1">
      <c r="I280" s="6"/>
    </row>
    <row r="281" ht="15.75" customHeight="1">
      <c r="I281" s="6"/>
    </row>
    <row r="282" ht="15.75" customHeight="1">
      <c r="I282" s="6"/>
    </row>
    <row r="283" ht="15.75" customHeight="1">
      <c r="I283" s="6"/>
    </row>
    <row r="284" ht="15.75" customHeight="1">
      <c r="I284" s="6"/>
    </row>
    <row r="285" ht="15.75" customHeight="1">
      <c r="I285" s="6"/>
    </row>
    <row r="286" ht="15.75" customHeight="1">
      <c r="I286" s="6"/>
    </row>
    <row r="287" ht="15.75" customHeight="1">
      <c r="I287" s="6"/>
    </row>
    <row r="288" ht="15.75" customHeight="1">
      <c r="I288" s="6"/>
    </row>
    <row r="289" ht="15.75" customHeight="1">
      <c r="I289" s="6"/>
    </row>
    <row r="290" ht="15.75" customHeight="1">
      <c r="I290" s="6"/>
    </row>
    <row r="291" ht="15.75" customHeight="1">
      <c r="I291" s="6"/>
    </row>
    <row r="292" ht="15.75" customHeight="1">
      <c r="I292" s="6"/>
    </row>
    <row r="293" ht="15.75" customHeight="1">
      <c r="I293" s="6"/>
    </row>
    <row r="294" ht="15.75" customHeight="1">
      <c r="I294" s="6"/>
    </row>
    <row r="295" ht="15.75" customHeight="1">
      <c r="I295" s="6"/>
    </row>
    <row r="296" ht="15.75" customHeight="1">
      <c r="I296" s="6"/>
    </row>
    <row r="297" ht="15.75" customHeight="1">
      <c r="I297" s="6"/>
    </row>
    <row r="298" ht="15.75" customHeight="1">
      <c r="I298" s="6"/>
    </row>
    <row r="299" ht="15.75" customHeight="1">
      <c r="I299" s="6"/>
    </row>
    <row r="300" ht="15.75" customHeight="1">
      <c r="I300" s="6"/>
    </row>
    <row r="301" ht="15.75" customHeight="1">
      <c r="I301" s="6"/>
    </row>
    <row r="302" ht="15.75" customHeight="1">
      <c r="I302" s="6"/>
    </row>
    <row r="303" ht="15.75" customHeight="1">
      <c r="I303" s="6"/>
    </row>
    <row r="304" ht="15.75" customHeight="1">
      <c r="I304" s="6"/>
    </row>
    <row r="305" ht="15.75" customHeight="1">
      <c r="I305" s="6"/>
    </row>
    <row r="306" ht="15.75" customHeight="1">
      <c r="I306" s="6"/>
    </row>
    <row r="307" ht="15.75" customHeight="1">
      <c r="I307" s="6"/>
    </row>
    <row r="308" ht="15.75" customHeight="1">
      <c r="I308" s="6"/>
    </row>
    <row r="309" ht="15.75" customHeight="1">
      <c r="I309" s="6"/>
    </row>
    <row r="310" ht="15.75" customHeight="1">
      <c r="I310" s="6"/>
    </row>
    <row r="311" ht="15.75" customHeight="1">
      <c r="I311" s="6"/>
    </row>
    <row r="312" ht="15.75" customHeight="1">
      <c r="I312" s="6"/>
    </row>
    <row r="313" ht="15.75" customHeight="1">
      <c r="I313" s="6"/>
    </row>
    <row r="314" ht="15.75" customHeight="1">
      <c r="I314" s="6"/>
    </row>
    <row r="315" ht="15.75" customHeight="1">
      <c r="I315" s="6"/>
    </row>
    <row r="316" ht="15.75" customHeight="1">
      <c r="I316" s="6"/>
    </row>
    <row r="317" ht="15.75" customHeight="1">
      <c r="I317" s="6"/>
    </row>
    <row r="318" ht="15.75" customHeight="1">
      <c r="I318" s="6"/>
    </row>
    <row r="319" ht="15.75" customHeight="1">
      <c r="I319" s="6"/>
    </row>
    <row r="320" ht="15.75" customHeight="1">
      <c r="I320" s="6"/>
    </row>
    <row r="321" ht="15.75" customHeight="1">
      <c r="I321" s="6"/>
    </row>
    <row r="322" ht="15.75" customHeight="1">
      <c r="I322" s="6"/>
    </row>
    <row r="323" ht="15.75" customHeight="1">
      <c r="I323" s="6"/>
    </row>
    <row r="324" ht="15.75" customHeight="1">
      <c r="I324" s="6"/>
    </row>
    <row r="325" ht="15.75" customHeight="1">
      <c r="I325" s="6"/>
    </row>
    <row r="326" ht="15.75" customHeight="1">
      <c r="I326" s="6"/>
    </row>
    <row r="327" ht="15.75" customHeight="1">
      <c r="I327" s="6"/>
    </row>
    <row r="328" ht="15.75" customHeight="1">
      <c r="I328" s="6"/>
    </row>
    <row r="329" ht="15.75" customHeight="1">
      <c r="I329" s="6"/>
    </row>
    <row r="330" ht="15.75" customHeight="1">
      <c r="I330" s="6"/>
    </row>
    <row r="331" ht="15.75" customHeight="1">
      <c r="I331" s="6"/>
    </row>
    <row r="332" ht="15.75" customHeight="1">
      <c r="I332" s="6"/>
    </row>
    <row r="333" ht="15.75" customHeight="1">
      <c r="I333" s="6"/>
    </row>
    <row r="334" ht="15.75" customHeight="1">
      <c r="I334" s="6"/>
    </row>
    <row r="335" ht="15.75" customHeight="1">
      <c r="I335" s="6"/>
    </row>
    <row r="336" ht="15.75" customHeight="1">
      <c r="I336" s="6"/>
    </row>
    <row r="337" ht="15.75" customHeight="1">
      <c r="I337" s="6"/>
    </row>
    <row r="338" ht="15.75" customHeight="1">
      <c r="I338" s="6"/>
    </row>
    <row r="339" ht="15.75" customHeight="1">
      <c r="I339" s="6"/>
    </row>
    <row r="340" ht="15.75" customHeight="1">
      <c r="I340" s="6"/>
    </row>
    <row r="341" ht="15.75" customHeight="1">
      <c r="I341" s="6"/>
    </row>
    <row r="342" ht="15.75" customHeight="1">
      <c r="I342" s="6"/>
    </row>
    <row r="343" ht="15.75" customHeight="1">
      <c r="I343" s="6"/>
    </row>
    <row r="344" ht="15.75" customHeight="1">
      <c r="I344" s="6"/>
    </row>
    <row r="345" ht="15.75" customHeight="1">
      <c r="I345" s="6"/>
    </row>
    <row r="346" ht="15.75" customHeight="1">
      <c r="I346" s="6"/>
    </row>
    <row r="347" ht="15.75" customHeight="1">
      <c r="I347" s="6"/>
    </row>
    <row r="348" ht="15.75" customHeight="1">
      <c r="I348" s="6"/>
    </row>
    <row r="349" ht="15.75" customHeight="1">
      <c r="I349" s="6"/>
    </row>
    <row r="350" ht="15.75" customHeight="1">
      <c r="I350" s="6"/>
    </row>
    <row r="351" ht="15.75" customHeight="1">
      <c r="I351" s="6"/>
    </row>
    <row r="352" ht="15.75" customHeight="1">
      <c r="I352" s="6"/>
    </row>
    <row r="353" ht="15.75" customHeight="1">
      <c r="I353" s="6"/>
    </row>
    <row r="354" ht="15.75" customHeight="1">
      <c r="I354" s="6"/>
    </row>
    <row r="355" ht="15.75" customHeight="1">
      <c r="I355" s="6"/>
    </row>
    <row r="356" ht="15.75" customHeight="1">
      <c r="I356" s="6"/>
    </row>
    <row r="357" ht="15.75" customHeight="1">
      <c r="I357" s="6"/>
    </row>
    <row r="358" ht="15.75" customHeight="1">
      <c r="I358" s="6"/>
    </row>
    <row r="359" ht="15.75" customHeight="1">
      <c r="I359" s="6"/>
    </row>
    <row r="360" ht="15.75" customHeight="1">
      <c r="I360" s="6"/>
    </row>
    <row r="361" ht="15.75" customHeight="1">
      <c r="I361" s="6"/>
    </row>
    <row r="362" ht="15.75" customHeight="1">
      <c r="I362" s="6"/>
    </row>
    <row r="363" ht="15.75" customHeight="1">
      <c r="I363" s="6"/>
    </row>
    <row r="364" ht="15.75" customHeight="1">
      <c r="I364" s="6"/>
    </row>
    <row r="365" ht="15.75" customHeight="1">
      <c r="I365" s="6"/>
    </row>
    <row r="366" ht="15.75" customHeight="1">
      <c r="I366" s="6"/>
    </row>
    <row r="367" ht="15.75" customHeight="1">
      <c r="I367" s="6"/>
    </row>
    <row r="368" ht="15.75" customHeight="1">
      <c r="I368" s="6"/>
    </row>
    <row r="369" ht="15.75" customHeight="1">
      <c r="I369" s="6"/>
    </row>
    <row r="370" ht="15.75" customHeight="1">
      <c r="I370" s="6"/>
    </row>
    <row r="371" ht="15.75" customHeight="1">
      <c r="I371" s="6"/>
    </row>
    <row r="372" ht="15.75" customHeight="1">
      <c r="I372" s="6"/>
    </row>
    <row r="373" ht="15.75" customHeight="1">
      <c r="I373" s="6"/>
    </row>
    <row r="374" ht="15.75" customHeight="1">
      <c r="I374" s="6"/>
    </row>
    <row r="375" ht="15.75" customHeight="1">
      <c r="I375" s="6"/>
    </row>
    <row r="376" ht="15.75" customHeight="1">
      <c r="I376" s="6"/>
    </row>
    <row r="377" ht="15.75" customHeight="1">
      <c r="I377" s="6"/>
    </row>
    <row r="378" ht="15.75" customHeight="1">
      <c r="I378" s="6"/>
    </row>
    <row r="379" ht="15.75" customHeight="1">
      <c r="I379" s="6"/>
    </row>
    <row r="380" ht="15.75" customHeight="1">
      <c r="I380" s="6"/>
    </row>
    <row r="381" ht="15.75" customHeight="1">
      <c r="I381" s="6"/>
    </row>
    <row r="382" ht="15.75" customHeight="1">
      <c r="I382" s="6"/>
    </row>
    <row r="383" ht="15.75" customHeight="1">
      <c r="I383" s="6"/>
    </row>
    <row r="384" ht="15.75" customHeight="1">
      <c r="I384" s="6"/>
    </row>
    <row r="385" ht="15.75" customHeight="1">
      <c r="I385" s="6"/>
    </row>
    <row r="386" ht="15.75" customHeight="1">
      <c r="I386" s="6"/>
    </row>
    <row r="387" ht="15.75" customHeight="1">
      <c r="I387" s="6"/>
    </row>
    <row r="388" ht="15.75" customHeight="1">
      <c r="I388" s="6"/>
    </row>
    <row r="389" ht="15.75" customHeight="1">
      <c r="I389" s="6"/>
    </row>
    <row r="390" ht="15.75" customHeight="1">
      <c r="I390" s="6"/>
    </row>
    <row r="391" ht="15.75" customHeight="1">
      <c r="I391" s="6"/>
    </row>
    <row r="392" ht="15.75" customHeight="1">
      <c r="I392" s="6"/>
    </row>
    <row r="393" ht="15.75" customHeight="1">
      <c r="I393" s="6"/>
    </row>
    <row r="394" ht="15.75" customHeight="1">
      <c r="I394" s="6"/>
    </row>
    <row r="395" ht="15.75" customHeight="1">
      <c r="I395" s="6"/>
    </row>
    <row r="396" ht="15.75" customHeight="1">
      <c r="I396" s="6"/>
    </row>
    <row r="397" ht="15.75" customHeight="1">
      <c r="I397" s="6"/>
    </row>
    <row r="398" ht="15.75" customHeight="1">
      <c r="I398" s="6"/>
    </row>
    <row r="399" ht="15.75" customHeight="1">
      <c r="I399" s="6"/>
    </row>
    <row r="400" ht="15.75" customHeight="1">
      <c r="I400" s="6"/>
    </row>
    <row r="401" ht="15.75" customHeight="1">
      <c r="I401" s="6"/>
    </row>
    <row r="402" ht="15.75" customHeight="1">
      <c r="I402" s="6"/>
    </row>
    <row r="403" ht="15.75" customHeight="1">
      <c r="I403" s="6"/>
    </row>
    <row r="404" ht="15.75" customHeight="1">
      <c r="I404" s="6"/>
    </row>
    <row r="405" ht="15.75" customHeight="1">
      <c r="I405" s="6"/>
    </row>
    <row r="406" ht="15.75" customHeight="1">
      <c r="I406" s="6"/>
    </row>
    <row r="407" ht="15.75" customHeight="1">
      <c r="I407" s="6"/>
    </row>
    <row r="408" ht="15.75" customHeight="1">
      <c r="I408" s="6"/>
    </row>
    <row r="409" ht="15.75" customHeight="1">
      <c r="I409" s="6"/>
    </row>
    <row r="410" ht="15.75" customHeight="1">
      <c r="I410" s="6"/>
    </row>
    <row r="411" ht="15.75" customHeight="1">
      <c r="I411" s="6"/>
    </row>
    <row r="412" ht="15.75" customHeight="1">
      <c r="I412" s="6"/>
    </row>
    <row r="413" ht="15.75" customHeight="1">
      <c r="I413" s="6"/>
    </row>
    <row r="414" ht="15.75" customHeight="1">
      <c r="I414" s="6"/>
    </row>
    <row r="415" ht="15.75" customHeight="1">
      <c r="I415" s="6"/>
    </row>
    <row r="416" ht="15.75" customHeight="1">
      <c r="I416" s="6"/>
    </row>
    <row r="417" ht="15.75" customHeight="1">
      <c r="I417" s="6"/>
    </row>
    <row r="418" ht="15.75" customHeight="1">
      <c r="I418" s="6"/>
    </row>
    <row r="419" ht="15.75" customHeight="1">
      <c r="I419" s="6"/>
    </row>
    <row r="420" ht="15.75" customHeight="1">
      <c r="I420" s="6"/>
    </row>
    <row r="421" ht="15.75" customHeight="1">
      <c r="I421" s="6"/>
    </row>
    <row r="422" ht="15.75" customHeight="1">
      <c r="I422" s="6"/>
    </row>
    <row r="423" ht="15.75" customHeight="1">
      <c r="I423" s="6"/>
    </row>
    <row r="424" ht="15.75" customHeight="1">
      <c r="I424" s="6"/>
    </row>
    <row r="425" ht="15.75" customHeight="1">
      <c r="I425" s="6"/>
    </row>
    <row r="426" ht="15.75" customHeight="1">
      <c r="I426" s="6"/>
    </row>
    <row r="427" ht="15.75" customHeight="1">
      <c r="I427" s="6"/>
    </row>
    <row r="428" ht="15.75" customHeight="1">
      <c r="I428" s="6"/>
    </row>
    <row r="429" ht="15.75" customHeight="1">
      <c r="I429" s="6"/>
    </row>
    <row r="430" ht="15.75" customHeight="1">
      <c r="I430" s="6"/>
    </row>
    <row r="431" ht="15.75" customHeight="1">
      <c r="I431" s="6"/>
    </row>
    <row r="432" ht="15.75" customHeight="1">
      <c r="I432" s="6"/>
    </row>
    <row r="433" ht="15.75" customHeight="1">
      <c r="I433" s="6"/>
    </row>
    <row r="434" ht="15.75" customHeight="1">
      <c r="I434" s="6"/>
    </row>
    <row r="435" ht="15.75" customHeight="1">
      <c r="I435" s="6"/>
    </row>
    <row r="436" ht="15.75" customHeight="1">
      <c r="I436" s="6"/>
    </row>
    <row r="437" ht="15.75" customHeight="1">
      <c r="I437" s="6"/>
    </row>
    <row r="438" ht="15.75" customHeight="1">
      <c r="I438" s="6"/>
    </row>
    <row r="439" ht="15.75" customHeight="1">
      <c r="I439" s="6"/>
    </row>
    <row r="440" ht="15.75" customHeight="1">
      <c r="I440" s="6"/>
    </row>
    <row r="441" ht="15.75" customHeight="1">
      <c r="I441" s="6"/>
    </row>
    <row r="442" ht="15.75" customHeight="1">
      <c r="I442" s="6"/>
    </row>
    <row r="443" ht="15.75" customHeight="1">
      <c r="I443" s="6"/>
    </row>
    <row r="444" ht="15.75" customHeight="1">
      <c r="I444" s="6"/>
    </row>
    <row r="445" ht="15.75" customHeight="1">
      <c r="I445" s="6"/>
    </row>
    <row r="446" ht="15.75" customHeight="1">
      <c r="I446" s="6"/>
    </row>
    <row r="447" ht="15.75" customHeight="1">
      <c r="I447" s="6"/>
    </row>
    <row r="448" ht="15.75" customHeight="1">
      <c r="I448" s="6"/>
    </row>
    <row r="449" ht="15.75" customHeight="1">
      <c r="I449" s="6"/>
    </row>
    <row r="450" ht="15.75" customHeight="1">
      <c r="I450" s="6"/>
    </row>
    <row r="451" ht="15.75" customHeight="1">
      <c r="I451" s="6"/>
    </row>
    <row r="452" ht="15.75" customHeight="1">
      <c r="I452" s="6"/>
    </row>
    <row r="453" ht="15.75" customHeight="1">
      <c r="I453" s="6"/>
    </row>
    <row r="454" ht="15.75" customHeight="1">
      <c r="I454" s="6"/>
    </row>
    <row r="455" ht="15.75" customHeight="1">
      <c r="I455" s="6"/>
    </row>
    <row r="456" ht="15.75" customHeight="1">
      <c r="I456" s="6"/>
    </row>
    <row r="457" ht="15.75" customHeight="1">
      <c r="I457" s="6"/>
    </row>
    <row r="458" ht="15.75" customHeight="1">
      <c r="I458" s="6"/>
    </row>
    <row r="459" ht="15.75" customHeight="1">
      <c r="I459" s="6"/>
    </row>
    <row r="460" ht="15.75" customHeight="1">
      <c r="I460" s="6"/>
    </row>
    <row r="461" ht="15.75" customHeight="1">
      <c r="I461" s="6"/>
    </row>
    <row r="462" ht="15.75" customHeight="1">
      <c r="I462" s="6"/>
    </row>
    <row r="463" ht="15.75" customHeight="1">
      <c r="I463" s="6"/>
    </row>
    <row r="464" ht="15.75" customHeight="1">
      <c r="I464" s="6"/>
    </row>
    <row r="465" ht="15.75" customHeight="1">
      <c r="I465" s="6"/>
    </row>
    <row r="466" ht="15.75" customHeight="1">
      <c r="I466" s="6"/>
    </row>
    <row r="467" ht="15.75" customHeight="1">
      <c r="I467" s="6"/>
    </row>
    <row r="468" ht="15.75" customHeight="1">
      <c r="I468" s="6"/>
    </row>
    <row r="469" ht="15.75" customHeight="1">
      <c r="I469" s="6"/>
    </row>
    <row r="470" ht="15.75" customHeight="1">
      <c r="I470" s="6"/>
    </row>
    <row r="471" ht="15.75" customHeight="1">
      <c r="I471" s="6"/>
    </row>
    <row r="472" ht="15.75" customHeight="1">
      <c r="I472" s="6"/>
    </row>
    <row r="473" ht="15.75" customHeight="1">
      <c r="I473" s="6"/>
    </row>
    <row r="474" ht="15.75" customHeight="1">
      <c r="I474" s="6"/>
    </row>
    <row r="475" ht="15.75" customHeight="1">
      <c r="I475" s="6"/>
    </row>
    <row r="476" ht="15.75" customHeight="1">
      <c r="I476" s="6"/>
    </row>
    <row r="477" ht="15.75" customHeight="1">
      <c r="I477" s="6"/>
    </row>
    <row r="478" ht="15.75" customHeight="1">
      <c r="I478" s="6"/>
    </row>
    <row r="479" ht="15.75" customHeight="1">
      <c r="I479" s="6"/>
    </row>
    <row r="480" ht="15.75" customHeight="1">
      <c r="I480" s="6"/>
    </row>
    <row r="481" ht="15.75" customHeight="1">
      <c r="I481" s="6"/>
    </row>
    <row r="482" ht="15.75" customHeight="1">
      <c r="I482" s="6"/>
    </row>
    <row r="483" ht="15.75" customHeight="1">
      <c r="I483" s="6"/>
    </row>
    <row r="484" ht="15.75" customHeight="1">
      <c r="I484" s="6"/>
    </row>
    <row r="485" ht="15.75" customHeight="1">
      <c r="I485" s="6"/>
    </row>
    <row r="486" ht="15.75" customHeight="1">
      <c r="I486" s="6"/>
    </row>
    <row r="487" ht="15.75" customHeight="1">
      <c r="I487" s="6"/>
    </row>
    <row r="488" ht="15.75" customHeight="1">
      <c r="I488" s="6"/>
    </row>
    <row r="489" ht="15.75" customHeight="1">
      <c r="I489" s="6"/>
    </row>
    <row r="490" ht="15.75" customHeight="1">
      <c r="I490" s="6"/>
    </row>
    <row r="491" ht="15.75" customHeight="1">
      <c r="I491" s="6"/>
    </row>
    <row r="492" ht="15.75" customHeight="1">
      <c r="I492" s="6"/>
    </row>
    <row r="493" ht="15.75" customHeight="1">
      <c r="I493" s="6"/>
    </row>
    <row r="494" ht="15.75" customHeight="1">
      <c r="I494" s="6"/>
    </row>
    <row r="495" ht="15.75" customHeight="1">
      <c r="I495" s="6"/>
    </row>
    <row r="496" ht="15.75" customHeight="1">
      <c r="I496" s="6"/>
    </row>
    <row r="497" ht="15.75" customHeight="1">
      <c r="I497" s="6"/>
    </row>
    <row r="498" ht="15.75" customHeight="1">
      <c r="I498" s="6"/>
    </row>
    <row r="499" ht="15.75" customHeight="1">
      <c r="I499" s="6"/>
    </row>
    <row r="500" ht="15.75" customHeight="1">
      <c r="I500" s="6"/>
    </row>
    <row r="501" ht="15.75" customHeight="1">
      <c r="I501" s="6"/>
    </row>
    <row r="502" ht="15.75" customHeight="1">
      <c r="I502" s="6"/>
    </row>
    <row r="503" ht="15.75" customHeight="1">
      <c r="I503" s="6"/>
    </row>
    <row r="504" ht="15.75" customHeight="1">
      <c r="I504" s="6"/>
    </row>
    <row r="505" ht="15.75" customHeight="1">
      <c r="I505" s="6"/>
    </row>
    <row r="506" ht="15.75" customHeight="1">
      <c r="I506" s="6"/>
    </row>
    <row r="507" ht="15.75" customHeight="1">
      <c r="I507" s="6"/>
    </row>
    <row r="508" ht="15.75" customHeight="1">
      <c r="I508" s="6"/>
    </row>
    <row r="509" ht="15.75" customHeight="1">
      <c r="I509" s="6"/>
    </row>
    <row r="510" ht="15.75" customHeight="1">
      <c r="I510" s="6"/>
    </row>
    <row r="511" ht="15.75" customHeight="1">
      <c r="I511" s="6"/>
    </row>
    <row r="512" ht="15.75" customHeight="1">
      <c r="I512" s="6"/>
    </row>
    <row r="513" ht="15.75" customHeight="1">
      <c r="I513" s="6"/>
    </row>
    <row r="514" ht="15.75" customHeight="1">
      <c r="I514" s="6"/>
    </row>
    <row r="515" ht="15.75" customHeight="1">
      <c r="I515" s="6"/>
    </row>
    <row r="516" ht="15.75" customHeight="1">
      <c r="I516" s="6"/>
    </row>
    <row r="517" ht="15.75" customHeight="1">
      <c r="I517" s="6"/>
    </row>
    <row r="518" ht="15.75" customHeight="1">
      <c r="I518" s="6"/>
    </row>
    <row r="519" ht="15.75" customHeight="1">
      <c r="I519" s="6"/>
    </row>
    <row r="520" ht="15.75" customHeight="1">
      <c r="I520" s="6"/>
    </row>
    <row r="521" ht="15.75" customHeight="1">
      <c r="I521" s="6"/>
    </row>
    <row r="522" ht="15.75" customHeight="1">
      <c r="I522" s="6"/>
    </row>
    <row r="523" ht="15.75" customHeight="1">
      <c r="I523" s="6"/>
    </row>
    <row r="524" ht="15.75" customHeight="1">
      <c r="I524" s="6"/>
    </row>
    <row r="525" ht="15.75" customHeight="1">
      <c r="I525" s="6"/>
    </row>
    <row r="526" ht="15.75" customHeight="1">
      <c r="I526" s="6"/>
    </row>
    <row r="527" ht="15.75" customHeight="1">
      <c r="I527" s="6"/>
    </row>
    <row r="528" ht="15.75" customHeight="1">
      <c r="I528" s="6"/>
    </row>
    <row r="529" ht="15.75" customHeight="1">
      <c r="I529" s="6"/>
    </row>
    <row r="530" ht="15.75" customHeight="1">
      <c r="I530" s="6"/>
    </row>
    <row r="531" ht="15.75" customHeight="1">
      <c r="I531" s="6"/>
    </row>
    <row r="532" ht="15.75" customHeight="1">
      <c r="I532" s="6"/>
    </row>
    <row r="533" ht="15.75" customHeight="1">
      <c r="I533" s="6"/>
    </row>
    <row r="534" ht="15.75" customHeight="1">
      <c r="I534" s="6"/>
    </row>
    <row r="535" ht="15.75" customHeight="1">
      <c r="I535" s="6"/>
    </row>
    <row r="536" ht="15.75" customHeight="1">
      <c r="I536" s="6"/>
    </row>
    <row r="537" ht="15.75" customHeight="1">
      <c r="I537" s="6"/>
    </row>
    <row r="538" ht="15.75" customHeight="1">
      <c r="I538" s="6"/>
    </row>
    <row r="539" ht="15.75" customHeight="1">
      <c r="I539" s="6"/>
    </row>
    <row r="540" ht="15.75" customHeight="1">
      <c r="I540" s="6"/>
    </row>
    <row r="541" ht="15.75" customHeight="1">
      <c r="I541" s="6"/>
    </row>
    <row r="542" ht="15.75" customHeight="1">
      <c r="I542" s="6"/>
    </row>
    <row r="543" ht="15.75" customHeight="1">
      <c r="I543" s="6"/>
    </row>
    <row r="544" ht="15.75" customHeight="1">
      <c r="I544" s="6"/>
    </row>
    <row r="545" ht="15.75" customHeight="1">
      <c r="I545" s="6"/>
    </row>
    <row r="546" ht="15.75" customHeight="1">
      <c r="I546" s="6"/>
    </row>
    <row r="547" ht="15.75" customHeight="1">
      <c r="I547" s="6"/>
    </row>
    <row r="548" ht="15.75" customHeight="1">
      <c r="I548" s="6"/>
    </row>
    <row r="549" ht="15.75" customHeight="1">
      <c r="I549" s="6"/>
    </row>
    <row r="550" ht="15.75" customHeight="1">
      <c r="I550" s="6"/>
    </row>
    <row r="551" ht="15.75" customHeight="1">
      <c r="I551" s="6"/>
    </row>
    <row r="552" ht="15.75" customHeight="1">
      <c r="I552" s="6"/>
    </row>
    <row r="553" ht="15.75" customHeight="1">
      <c r="I553" s="6"/>
    </row>
    <row r="554" ht="15.75" customHeight="1">
      <c r="I554" s="6"/>
    </row>
    <row r="555" ht="15.75" customHeight="1">
      <c r="I555" s="6"/>
    </row>
    <row r="556" ht="15.75" customHeight="1">
      <c r="I556" s="6"/>
    </row>
    <row r="557" ht="15.75" customHeight="1">
      <c r="I557" s="6"/>
    </row>
    <row r="558" ht="15.75" customHeight="1">
      <c r="I558" s="6"/>
    </row>
    <row r="559" ht="15.75" customHeight="1">
      <c r="I559" s="6"/>
    </row>
    <row r="560" ht="15.75" customHeight="1">
      <c r="I560" s="6"/>
    </row>
    <row r="561" ht="15.75" customHeight="1">
      <c r="I561" s="6"/>
    </row>
    <row r="562" ht="15.75" customHeight="1">
      <c r="I562" s="6"/>
    </row>
    <row r="563" ht="15.75" customHeight="1">
      <c r="I563" s="6"/>
    </row>
    <row r="564" ht="15.75" customHeight="1">
      <c r="I564" s="6"/>
    </row>
    <row r="565" ht="15.75" customHeight="1">
      <c r="I565" s="6"/>
    </row>
    <row r="566" ht="15.75" customHeight="1">
      <c r="I566" s="6"/>
    </row>
    <row r="567" ht="15.75" customHeight="1">
      <c r="I567" s="6"/>
    </row>
    <row r="568" ht="15.75" customHeight="1">
      <c r="I568" s="6"/>
    </row>
    <row r="569" ht="15.75" customHeight="1">
      <c r="I569" s="6"/>
    </row>
    <row r="570" ht="15.75" customHeight="1">
      <c r="I570" s="6"/>
    </row>
    <row r="571" ht="15.75" customHeight="1">
      <c r="I571" s="6"/>
    </row>
    <row r="572" ht="15.75" customHeight="1">
      <c r="I572" s="6"/>
    </row>
    <row r="573" ht="15.75" customHeight="1">
      <c r="I573" s="6"/>
    </row>
    <row r="574" ht="15.75" customHeight="1">
      <c r="I574" s="6"/>
    </row>
    <row r="575" ht="15.75" customHeight="1">
      <c r="I575" s="6"/>
    </row>
    <row r="576" ht="15.75" customHeight="1">
      <c r="I576" s="6"/>
    </row>
    <row r="577" ht="15.75" customHeight="1">
      <c r="I577" s="6"/>
    </row>
    <row r="578" ht="15.75" customHeight="1">
      <c r="I578" s="6"/>
    </row>
    <row r="579" ht="15.75" customHeight="1">
      <c r="I579" s="6"/>
    </row>
    <row r="580" ht="15.75" customHeight="1">
      <c r="I580" s="6"/>
    </row>
    <row r="581" ht="15.75" customHeight="1">
      <c r="I581" s="6"/>
    </row>
    <row r="582" ht="15.75" customHeight="1">
      <c r="I582" s="6"/>
    </row>
    <row r="583" ht="15.75" customHeight="1">
      <c r="I583" s="6"/>
    </row>
    <row r="584" ht="15.75" customHeight="1">
      <c r="I584" s="6"/>
    </row>
    <row r="585" ht="15.75" customHeight="1">
      <c r="I585" s="6"/>
    </row>
    <row r="586" ht="15.75" customHeight="1">
      <c r="I586" s="6"/>
    </row>
    <row r="587" ht="15.75" customHeight="1">
      <c r="I587" s="6"/>
    </row>
    <row r="588" ht="15.75" customHeight="1">
      <c r="I588" s="6"/>
    </row>
    <row r="589" ht="15.75" customHeight="1">
      <c r="I589" s="6"/>
    </row>
    <row r="590" ht="15.75" customHeight="1">
      <c r="I590" s="6"/>
    </row>
    <row r="591" ht="15.75" customHeight="1">
      <c r="I591" s="6"/>
    </row>
    <row r="592" ht="15.75" customHeight="1">
      <c r="I592" s="6"/>
    </row>
    <row r="593" ht="15.75" customHeight="1">
      <c r="I593" s="6"/>
    </row>
    <row r="594" ht="15.75" customHeight="1">
      <c r="I594" s="6"/>
    </row>
    <row r="595" ht="15.75" customHeight="1">
      <c r="I595" s="6"/>
    </row>
    <row r="596" ht="15.75" customHeight="1">
      <c r="I596" s="6"/>
    </row>
    <row r="597" ht="15.75" customHeight="1">
      <c r="I597" s="6"/>
    </row>
    <row r="598" ht="15.75" customHeight="1">
      <c r="I598" s="6"/>
    </row>
    <row r="599" ht="15.75" customHeight="1">
      <c r="I599" s="6"/>
    </row>
    <row r="600" ht="15.75" customHeight="1">
      <c r="I600" s="6"/>
    </row>
    <row r="601" ht="15.75" customHeight="1">
      <c r="I601" s="6"/>
    </row>
    <row r="602" ht="15.75" customHeight="1">
      <c r="I602" s="6"/>
    </row>
    <row r="603" ht="15.75" customHeight="1">
      <c r="I603" s="6"/>
    </row>
    <row r="604" ht="15.75" customHeight="1">
      <c r="I604" s="6"/>
    </row>
    <row r="605" ht="15.75" customHeight="1">
      <c r="I605" s="6"/>
    </row>
    <row r="606" ht="15.75" customHeight="1">
      <c r="I606" s="6"/>
    </row>
    <row r="607" ht="15.75" customHeight="1">
      <c r="I607" s="6"/>
    </row>
    <row r="608" ht="15.75" customHeight="1">
      <c r="I608" s="6"/>
    </row>
    <row r="609" ht="15.75" customHeight="1">
      <c r="I609" s="6"/>
    </row>
    <row r="610" ht="15.75" customHeight="1">
      <c r="I610" s="6"/>
    </row>
    <row r="611" ht="15.75" customHeight="1">
      <c r="I611" s="6"/>
    </row>
    <row r="612" ht="15.75" customHeight="1">
      <c r="I612" s="6"/>
    </row>
    <row r="613" ht="15.75" customHeight="1">
      <c r="I613" s="6"/>
    </row>
    <row r="614" ht="15.75" customHeight="1">
      <c r="I614" s="6"/>
    </row>
    <row r="615" ht="15.75" customHeight="1">
      <c r="I615" s="6"/>
    </row>
    <row r="616" ht="15.75" customHeight="1">
      <c r="I616" s="6"/>
    </row>
    <row r="617" ht="15.75" customHeight="1">
      <c r="I617" s="6"/>
    </row>
    <row r="618" ht="15.75" customHeight="1">
      <c r="I618" s="6"/>
    </row>
    <row r="619" ht="15.75" customHeight="1">
      <c r="I619" s="6"/>
    </row>
    <row r="620" ht="15.75" customHeight="1">
      <c r="I620" s="6"/>
    </row>
    <row r="621" ht="15.75" customHeight="1">
      <c r="I621" s="6"/>
    </row>
    <row r="622" ht="15.75" customHeight="1">
      <c r="I622" s="6"/>
    </row>
    <row r="623" ht="15.75" customHeight="1">
      <c r="I623" s="6"/>
    </row>
    <row r="624" ht="15.75" customHeight="1">
      <c r="I624" s="6"/>
    </row>
    <row r="625" ht="15.75" customHeight="1">
      <c r="I625" s="6"/>
    </row>
    <row r="626" ht="15.75" customHeight="1">
      <c r="I626" s="6"/>
    </row>
    <row r="627" ht="15.75" customHeight="1">
      <c r="I627" s="6"/>
    </row>
    <row r="628" ht="15.75" customHeight="1">
      <c r="I628" s="6"/>
    </row>
    <row r="629" ht="15.75" customHeight="1">
      <c r="I629" s="6"/>
    </row>
    <row r="630" ht="15.75" customHeight="1">
      <c r="I630" s="6"/>
    </row>
    <row r="631" ht="15.75" customHeight="1">
      <c r="I631" s="6"/>
    </row>
    <row r="632" ht="15.75" customHeight="1">
      <c r="I632" s="6"/>
    </row>
    <row r="633" ht="15.75" customHeight="1">
      <c r="I633" s="6"/>
    </row>
    <row r="634" ht="15.75" customHeight="1">
      <c r="I634" s="6"/>
    </row>
    <row r="635" ht="15.75" customHeight="1">
      <c r="I635" s="6"/>
    </row>
    <row r="636" ht="15.75" customHeight="1">
      <c r="I636" s="6"/>
    </row>
    <row r="637" ht="15.75" customHeight="1">
      <c r="I637" s="6"/>
    </row>
    <row r="638" ht="15.75" customHeight="1">
      <c r="I638" s="6"/>
    </row>
    <row r="639" ht="15.75" customHeight="1">
      <c r="I639" s="6"/>
    </row>
    <row r="640" ht="15.75" customHeight="1">
      <c r="I640" s="6"/>
    </row>
    <row r="641" ht="15.75" customHeight="1">
      <c r="I641" s="6"/>
    </row>
    <row r="642" ht="15.75" customHeight="1">
      <c r="I642" s="6"/>
    </row>
    <row r="643" ht="15.75" customHeight="1">
      <c r="I643" s="6"/>
    </row>
    <row r="644" ht="15.75" customHeight="1">
      <c r="I644" s="6"/>
    </row>
    <row r="645" ht="15.75" customHeight="1">
      <c r="I645" s="6"/>
    </row>
    <row r="646" ht="15.75" customHeight="1">
      <c r="I646" s="6"/>
    </row>
    <row r="647" ht="15.75" customHeight="1">
      <c r="I647" s="6"/>
    </row>
    <row r="648" ht="15.75" customHeight="1">
      <c r="I648" s="6"/>
    </row>
    <row r="649" ht="15.75" customHeight="1">
      <c r="I649" s="6"/>
    </row>
    <row r="650" ht="15.75" customHeight="1">
      <c r="I650" s="6"/>
    </row>
    <row r="651" ht="15.75" customHeight="1">
      <c r="I651" s="6"/>
    </row>
    <row r="652" ht="15.75" customHeight="1">
      <c r="I652" s="6"/>
    </row>
    <row r="653" ht="15.75" customHeight="1">
      <c r="I653" s="6"/>
    </row>
    <row r="654" ht="15.75" customHeight="1">
      <c r="I654" s="6"/>
    </row>
    <row r="655" ht="15.75" customHeight="1">
      <c r="I655" s="6"/>
    </row>
    <row r="656" ht="15.75" customHeight="1">
      <c r="I656" s="6"/>
    </row>
    <row r="657" ht="15.75" customHeight="1">
      <c r="I657" s="6"/>
    </row>
    <row r="658" ht="15.75" customHeight="1">
      <c r="I658" s="6"/>
    </row>
    <row r="659" ht="15.75" customHeight="1">
      <c r="I659" s="6"/>
    </row>
    <row r="660" ht="15.75" customHeight="1">
      <c r="I660" s="6"/>
    </row>
    <row r="661" ht="15.75" customHeight="1">
      <c r="I661" s="6"/>
    </row>
    <row r="662" ht="15.75" customHeight="1">
      <c r="I662" s="6"/>
    </row>
    <row r="663" ht="15.75" customHeight="1">
      <c r="I663" s="6"/>
    </row>
    <row r="664" ht="15.75" customHeight="1">
      <c r="I664" s="6"/>
    </row>
    <row r="665" ht="15.75" customHeight="1">
      <c r="I665" s="6"/>
    </row>
    <row r="666" ht="15.75" customHeight="1">
      <c r="I666" s="6"/>
    </row>
    <row r="667" ht="15.75" customHeight="1">
      <c r="I667" s="6"/>
    </row>
    <row r="668" ht="15.75" customHeight="1">
      <c r="I668" s="6"/>
    </row>
    <row r="669" ht="15.75" customHeight="1">
      <c r="I669" s="6"/>
    </row>
    <row r="670" ht="15.75" customHeight="1">
      <c r="I670" s="6"/>
    </row>
    <row r="671" ht="15.75" customHeight="1">
      <c r="I671" s="6"/>
    </row>
    <row r="672" ht="15.75" customHeight="1">
      <c r="I672" s="6"/>
    </row>
    <row r="673" ht="15.75" customHeight="1">
      <c r="I673" s="6"/>
    </row>
    <row r="674" ht="15.75" customHeight="1">
      <c r="I674" s="6"/>
    </row>
    <row r="675" ht="15.75" customHeight="1">
      <c r="I675" s="6"/>
    </row>
    <row r="676" ht="15.75" customHeight="1">
      <c r="I676" s="6"/>
    </row>
    <row r="677" ht="15.75" customHeight="1">
      <c r="I677" s="6"/>
    </row>
    <row r="678" ht="15.75" customHeight="1">
      <c r="I678" s="6"/>
    </row>
    <row r="679" ht="15.75" customHeight="1">
      <c r="I679" s="6"/>
    </row>
    <row r="680" ht="15.75" customHeight="1">
      <c r="I680" s="6"/>
    </row>
    <row r="681" ht="15.75" customHeight="1">
      <c r="I681" s="6"/>
    </row>
    <row r="682" ht="15.75" customHeight="1">
      <c r="I682" s="6"/>
    </row>
    <row r="683" ht="15.75" customHeight="1">
      <c r="I683" s="6"/>
    </row>
    <row r="684" ht="15.75" customHeight="1">
      <c r="I684" s="6"/>
    </row>
    <row r="685" ht="15.75" customHeight="1">
      <c r="I685" s="6"/>
    </row>
    <row r="686" ht="15.75" customHeight="1">
      <c r="I686" s="6"/>
    </row>
    <row r="687" ht="15.75" customHeight="1">
      <c r="I687" s="6"/>
    </row>
    <row r="688" ht="15.75" customHeight="1">
      <c r="I688" s="6"/>
    </row>
    <row r="689" ht="15.75" customHeight="1">
      <c r="I689" s="6"/>
    </row>
    <row r="690" ht="15.75" customHeight="1">
      <c r="I690" s="6"/>
    </row>
    <row r="691" ht="15.75" customHeight="1">
      <c r="I691" s="6"/>
    </row>
    <row r="692" ht="15.75" customHeight="1">
      <c r="I692" s="6"/>
    </row>
    <row r="693" ht="15.75" customHeight="1">
      <c r="I693" s="6"/>
    </row>
    <row r="694" ht="15.75" customHeight="1">
      <c r="I694" s="6"/>
    </row>
    <row r="695" ht="15.75" customHeight="1">
      <c r="I695" s="6"/>
    </row>
    <row r="696" ht="15.75" customHeight="1">
      <c r="I696" s="6"/>
    </row>
    <row r="697" ht="15.75" customHeight="1">
      <c r="I697" s="6"/>
    </row>
    <row r="698" ht="15.75" customHeight="1">
      <c r="I698" s="6"/>
    </row>
    <row r="699" ht="15.75" customHeight="1">
      <c r="I699" s="6"/>
    </row>
    <row r="700" ht="15.75" customHeight="1">
      <c r="I700" s="6"/>
    </row>
    <row r="701" ht="15.75" customHeight="1">
      <c r="I701" s="6"/>
    </row>
    <row r="702" ht="15.75" customHeight="1">
      <c r="I702" s="6"/>
    </row>
    <row r="703" ht="15.75" customHeight="1">
      <c r="I703" s="6"/>
    </row>
    <row r="704" ht="15.75" customHeight="1">
      <c r="I704" s="6"/>
    </row>
    <row r="705" ht="15.75" customHeight="1">
      <c r="I705" s="6"/>
    </row>
    <row r="706" ht="15.75" customHeight="1">
      <c r="I706" s="6"/>
    </row>
    <row r="707" ht="15.75" customHeight="1">
      <c r="I707" s="6"/>
    </row>
    <row r="708" ht="15.75" customHeight="1">
      <c r="I708" s="6"/>
    </row>
    <row r="709" ht="15.75" customHeight="1">
      <c r="I709" s="6"/>
    </row>
    <row r="710" ht="15.75" customHeight="1">
      <c r="I710" s="6"/>
    </row>
    <row r="711" ht="15.75" customHeight="1">
      <c r="I711" s="6"/>
    </row>
    <row r="712" ht="15.75" customHeight="1">
      <c r="I712" s="6"/>
    </row>
    <row r="713" ht="15.75" customHeight="1">
      <c r="I713" s="6"/>
    </row>
    <row r="714" ht="15.75" customHeight="1">
      <c r="I714" s="6"/>
    </row>
    <row r="715" ht="15.75" customHeight="1">
      <c r="I715" s="6"/>
    </row>
    <row r="716" ht="15.75" customHeight="1">
      <c r="I716" s="6"/>
    </row>
    <row r="717" ht="15.75" customHeight="1">
      <c r="I717" s="6"/>
    </row>
    <row r="718" ht="15.75" customHeight="1">
      <c r="I718" s="6"/>
    </row>
    <row r="719" ht="15.75" customHeight="1">
      <c r="I719" s="6"/>
    </row>
    <row r="720" ht="15.75" customHeight="1">
      <c r="I720" s="6"/>
    </row>
    <row r="721" ht="15.75" customHeight="1">
      <c r="I721" s="6"/>
    </row>
    <row r="722" ht="15.75" customHeight="1">
      <c r="I722" s="6"/>
    </row>
    <row r="723" ht="15.75" customHeight="1">
      <c r="I723" s="6"/>
    </row>
    <row r="724" ht="15.75" customHeight="1">
      <c r="I724" s="6"/>
    </row>
    <row r="725" ht="15.75" customHeight="1">
      <c r="I725" s="6"/>
    </row>
    <row r="726" ht="15.75" customHeight="1">
      <c r="I726" s="6"/>
    </row>
    <row r="727" ht="15.75" customHeight="1">
      <c r="I727" s="6"/>
    </row>
    <row r="728" ht="15.75" customHeight="1">
      <c r="I728" s="6"/>
    </row>
    <row r="729" ht="15.75" customHeight="1">
      <c r="I729" s="6"/>
    </row>
    <row r="730" ht="15.75" customHeight="1">
      <c r="I730" s="6"/>
    </row>
    <row r="731" ht="15.75" customHeight="1">
      <c r="I731" s="6"/>
    </row>
    <row r="732" ht="15.75" customHeight="1">
      <c r="I732" s="6"/>
    </row>
    <row r="733" ht="15.75" customHeight="1">
      <c r="I733" s="6"/>
    </row>
    <row r="734" ht="15.75" customHeight="1">
      <c r="I734" s="6"/>
    </row>
    <row r="735" ht="15.75" customHeight="1">
      <c r="I735" s="6"/>
    </row>
    <row r="736" ht="15.75" customHeight="1">
      <c r="I736" s="6"/>
    </row>
    <row r="737" ht="15.75" customHeight="1">
      <c r="I737" s="6"/>
    </row>
    <row r="738" ht="15.75" customHeight="1">
      <c r="I738" s="6"/>
    </row>
    <row r="739" ht="15.75" customHeight="1">
      <c r="I739" s="6"/>
    </row>
    <row r="740" ht="15.75" customHeight="1">
      <c r="I740" s="6"/>
    </row>
    <row r="741" ht="15.75" customHeight="1">
      <c r="I741" s="6"/>
    </row>
    <row r="742" ht="15.75" customHeight="1">
      <c r="I742" s="6"/>
    </row>
    <row r="743" ht="15.75" customHeight="1">
      <c r="I743" s="6"/>
    </row>
    <row r="744" ht="15.75" customHeight="1">
      <c r="I744" s="6"/>
    </row>
    <row r="745" ht="15.75" customHeight="1">
      <c r="I745" s="6"/>
    </row>
    <row r="746" ht="15.75" customHeight="1">
      <c r="I746" s="6"/>
    </row>
    <row r="747" ht="15.75" customHeight="1">
      <c r="I747" s="6"/>
    </row>
    <row r="748" ht="15.75" customHeight="1">
      <c r="I748" s="6"/>
    </row>
    <row r="749" ht="15.75" customHeight="1">
      <c r="I749" s="6"/>
    </row>
    <row r="750" ht="15.75" customHeight="1">
      <c r="I750" s="6"/>
    </row>
    <row r="751" ht="15.75" customHeight="1">
      <c r="I751" s="6"/>
    </row>
    <row r="752" ht="15.75" customHeight="1">
      <c r="I752" s="6"/>
    </row>
    <row r="753" ht="15.75" customHeight="1">
      <c r="I753" s="6"/>
    </row>
    <row r="754" ht="15.75" customHeight="1">
      <c r="I754" s="6"/>
    </row>
    <row r="755" ht="15.75" customHeight="1">
      <c r="I755" s="6"/>
    </row>
    <row r="756" ht="15.75" customHeight="1">
      <c r="I756" s="6"/>
    </row>
    <row r="757" ht="15.75" customHeight="1">
      <c r="I757" s="6"/>
    </row>
    <row r="758" ht="15.75" customHeight="1">
      <c r="I758" s="6"/>
    </row>
    <row r="759" ht="15.75" customHeight="1">
      <c r="I759" s="6"/>
    </row>
    <row r="760" ht="15.75" customHeight="1">
      <c r="I760" s="6"/>
    </row>
    <row r="761" ht="15.75" customHeight="1">
      <c r="I761" s="6"/>
    </row>
    <row r="762" ht="15.75" customHeight="1">
      <c r="I762" s="6"/>
    </row>
    <row r="763" ht="15.75" customHeight="1">
      <c r="I763" s="6"/>
    </row>
    <row r="764" ht="15.75" customHeight="1">
      <c r="I764" s="6"/>
    </row>
    <row r="765" ht="15.75" customHeight="1">
      <c r="I765" s="6"/>
    </row>
    <row r="766" ht="15.75" customHeight="1">
      <c r="I766" s="6"/>
    </row>
    <row r="767" ht="15.75" customHeight="1">
      <c r="I767" s="6"/>
    </row>
    <row r="768" ht="15.75" customHeight="1">
      <c r="I768" s="6"/>
    </row>
    <row r="769" ht="15.75" customHeight="1">
      <c r="I769" s="6"/>
    </row>
    <row r="770" ht="15.75" customHeight="1">
      <c r="I770" s="6"/>
    </row>
    <row r="771" ht="15.75" customHeight="1">
      <c r="I771" s="6"/>
    </row>
    <row r="772" ht="15.75" customHeight="1">
      <c r="I772" s="6"/>
    </row>
    <row r="773" ht="15.75" customHeight="1">
      <c r="I773" s="6"/>
    </row>
    <row r="774" ht="15.75" customHeight="1">
      <c r="I774" s="6"/>
    </row>
    <row r="775" ht="15.75" customHeight="1">
      <c r="I775" s="6"/>
    </row>
    <row r="776" ht="15.75" customHeight="1">
      <c r="I776" s="6"/>
    </row>
    <row r="777" ht="15.75" customHeight="1">
      <c r="I777" s="6"/>
    </row>
    <row r="778" ht="15.75" customHeight="1">
      <c r="I778" s="6"/>
    </row>
    <row r="779" ht="15.75" customHeight="1">
      <c r="I779" s="6"/>
    </row>
    <row r="780" ht="15.75" customHeight="1">
      <c r="I780" s="6"/>
    </row>
    <row r="781" ht="15.75" customHeight="1">
      <c r="I781" s="6"/>
    </row>
    <row r="782" ht="15.75" customHeight="1">
      <c r="I782" s="6"/>
    </row>
    <row r="783" ht="15.75" customHeight="1">
      <c r="I783" s="6"/>
    </row>
    <row r="784" ht="15.75" customHeight="1">
      <c r="I784" s="6"/>
    </row>
    <row r="785" ht="15.75" customHeight="1">
      <c r="I785" s="6"/>
    </row>
    <row r="786" ht="15.75" customHeight="1">
      <c r="I786" s="6"/>
    </row>
    <row r="787" ht="15.75" customHeight="1">
      <c r="I787" s="6"/>
    </row>
    <row r="788" ht="15.75" customHeight="1">
      <c r="I788" s="6"/>
    </row>
    <row r="789" ht="15.75" customHeight="1">
      <c r="I789" s="6"/>
    </row>
    <row r="790" ht="15.75" customHeight="1">
      <c r="I790" s="6"/>
    </row>
    <row r="791" ht="15.75" customHeight="1">
      <c r="I791" s="6"/>
    </row>
    <row r="792" ht="15.75" customHeight="1">
      <c r="I792" s="6"/>
    </row>
    <row r="793" ht="15.75" customHeight="1">
      <c r="I793" s="6"/>
    </row>
    <row r="794" ht="15.75" customHeight="1">
      <c r="I794" s="6"/>
    </row>
    <row r="795" ht="15.75" customHeight="1">
      <c r="I795" s="6"/>
    </row>
    <row r="796" ht="15.75" customHeight="1">
      <c r="I796" s="6"/>
    </row>
    <row r="797" ht="15.75" customHeight="1">
      <c r="I797" s="6"/>
    </row>
    <row r="798" ht="15.75" customHeight="1">
      <c r="I798" s="6"/>
    </row>
    <row r="799" ht="15.75" customHeight="1">
      <c r="I799" s="6"/>
    </row>
    <row r="800" ht="15.75" customHeight="1">
      <c r="I800" s="6"/>
    </row>
    <row r="801" ht="15.75" customHeight="1">
      <c r="I801" s="6"/>
    </row>
    <row r="802" ht="15.75" customHeight="1">
      <c r="I802" s="6"/>
    </row>
    <row r="803" ht="15.75" customHeight="1">
      <c r="I803" s="6"/>
    </row>
    <row r="804" ht="15.75" customHeight="1">
      <c r="I804" s="6"/>
    </row>
    <row r="805" ht="15.75" customHeight="1">
      <c r="I805" s="6"/>
    </row>
    <row r="806" ht="15.75" customHeight="1">
      <c r="I806" s="6"/>
    </row>
    <row r="807" ht="15.75" customHeight="1">
      <c r="I807" s="6"/>
    </row>
    <row r="808" ht="15.75" customHeight="1">
      <c r="I808" s="6"/>
    </row>
    <row r="809" ht="15.75" customHeight="1">
      <c r="I809" s="6"/>
    </row>
    <row r="810" ht="15.75" customHeight="1">
      <c r="I810" s="6"/>
    </row>
    <row r="811" ht="15.75" customHeight="1">
      <c r="I811" s="6"/>
    </row>
    <row r="812" ht="15.75" customHeight="1">
      <c r="I812" s="6"/>
    </row>
    <row r="813" ht="15.75" customHeight="1">
      <c r="I813" s="6"/>
    </row>
    <row r="814" ht="15.75" customHeight="1">
      <c r="I814" s="6"/>
    </row>
    <row r="815" ht="15.75" customHeight="1">
      <c r="I815" s="6"/>
    </row>
    <row r="816" ht="15.75" customHeight="1">
      <c r="I816" s="6"/>
    </row>
    <row r="817" ht="15.75" customHeight="1">
      <c r="I817" s="6"/>
    </row>
    <row r="818" ht="15.75" customHeight="1">
      <c r="I818" s="6"/>
    </row>
    <row r="819" ht="15.75" customHeight="1">
      <c r="I819" s="6"/>
    </row>
    <row r="820" ht="15.75" customHeight="1">
      <c r="I820" s="6"/>
    </row>
    <row r="821" ht="15.75" customHeight="1">
      <c r="I821" s="6"/>
    </row>
    <row r="822" ht="15.75" customHeight="1">
      <c r="I822" s="6"/>
    </row>
    <row r="823" ht="15.75" customHeight="1">
      <c r="I823" s="6"/>
    </row>
    <row r="824" ht="15.75" customHeight="1">
      <c r="I824" s="6"/>
    </row>
    <row r="825" ht="15.75" customHeight="1">
      <c r="I825" s="6"/>
    </row>
    <row r="826" ht="15.75" customHeight="1">
      <c r="I826" s="6"/>
    </row>
    <row r="827" ht="15.75" customHeight="1">
      <c r="I827" s="6"/>
    </row>
    <row r="828" ht="15.75" customHeight="1">
      <c r="I828" s="6"/>
    </row>
    <row r="829" ht="15.75" customHeight="1">
      <c r="I829" s="6"/>
    </row>
    <row r="830" ht="15.75" customHeight="1">
      <c r="I830" s="6"/>
    </row>
    <row r="831" ht="15.75" customHeight="1">
      <c r="I831" s="6"/>
    </row>
    <row r="832" ht="15.75" customHeight="1">
      <c r="I832" s="6"/>
    </row>
    <row r="833" ht="15.75" customHeight="1">
      <c r="I833" s="6"/>
    </row>
    <row r="834" ht="15.75" customHeight="1">
      <c r="I834" s="6"/>
    </row>
    <row r="835" ht="15.75" customHeight="1">
      <c r="I835" s="6"/>
    </row>
    <row r="836" ht="15.75" customHeight="1">
      <c r="I836" s="6"/>
    </row>
    <row r="837" ht="15.75" customHeight="1">
      <c r="I837" s="6"/>
    </row>
    <row r="838" ht="15.75" customHeight="1">
      <c r="I838" s="6"/>
    </row>
    <row r="839" ht="15.75" customHeight="1">
      <c r="I839" s="6"/>
    </row>
    <row r="840" ht="15.75" customHeight="1">
      <c r="I840" s="6"/>
    </row>
    <row r="841" ht="15.75" customHeight="1">
      <c r="I841" s="6"/>
    </row>
    <row r="842" ht="15.75" customHeight="1">
      <c r="I842" s="6"/>
    </row>
    <row r="843" ht="15.75" customHeight="1">
      <c r="I843" s="6"/>
    </row>
    <row r="844" ht="15.75" customHeight="1">
      <c r="I844" s="6"/>
    </row>
    <row r="845" ht="15.75" customHeight="1">
      <c r="I845" s="6"/>
    </row>
    <row r="846" ht="15.75" customHeight="1">
      <c r="I846" s="6"/>
    </row>
    <row r="847" ht="15.75" customHeight="1">
      <c r="I847" s="6"/>
    </row>
    <row r="848" ht="15.75" customHeight="1">
      <c r="I848" s="6"/>
    </row>
    <row r="849" ht="15.75" customHeight="1">
      <c r="I849" s="6"/>
    </row>
    <row r="850" ht="15.75" customHeight="1">
      <c r="I850" s="6"/>
    </row>
    <row r="851" ht="15.75" customHeight="1">
      <c r="I851" s="6"/>
    </row>
    <row r="852" ht="15.75" customHeight="1">
      <c r="I852" s="6"/>
    </row>
    <row r="853" ht="15.75" customHeight="1">
      <c r="I853" s="6"/>
    </row>
    <row r="854" ht="15.75" customHeight="1">
      <c r="I854" s="6"/>
    </row>
    <row r="855" ht="15.75" customHeight="1">
      <c r="I855" s="6"/>
    </row>
    <row r="856" ht="15.75" customHeight="1">
      <c r="I856" s="6"/>
    </row>
    <row r="857" ht="15.75" customHeight="1">
      <c r="I857" s="6"/>
    </row>
    <row r="858" ht="15.75" customHeight="1">
      <c r="I858" s="6"/>
    </row>
    <row r="859" ht="15.75" customHeight="1">
      <c r="I859" s="6"/>
    </row>
    <row r="860" ht="15.75" customHeight="1">
      <c r="I860" s="6"/>
    </row>
    <row r="861" ht="15.75" customHeight="1">
      <c r="I861" s="6"/>
    </row>
    <row r="862" ht="15.75" customHeight="1">
      <c r="I862" s="6"/>
    </row>
    <row r="863" ht="15.75" customHeight="1">
      <c r="I863" s="6"/>
    </row>
    <row r="864" ht="15.75" customHeight="1">
      <c r="I864" s="6"/>
    </row>
    <row r="865" ht="15.75" customHeight="1">
      <c r="I865" s="6"/>
    </row>
    <row r="866" ht="15.75" customHeight="1">
      <c r="I866" s="6"/>
    </row>
    <row r="867" ht="15.75" customHeight="1">
      <c r="I867" s="6"/>
    </row>
    <row r="868" ht="15.75" customHeight="1">
      <c r="I868" s="6"/>
    </row>
    <row r="869" ht="15.75" customHeight="1">
      <c r="I869" s="6"/>
    </row>
    <row r="870" ht="15.75" customHeight="1">
      <c r="I870" s="6"/>
    </row>
    <row r="871" ht="15.75" customHeight="1">
      <c r="I871" s="6"/>
    </row>
    <row r="872" ht="15.75" customHeight="1">
      <c r="I872" s="6"/>
    </row>
    <row r="873" ht="15.75" customHeight="1">
      <c r="I873" s="6"/>
    </row>
    <row r="874" ht="15.75" customHeight="1">
      <c r="I874" s="6"/>
    </row>
    <row r="875" ht="15.75" customHeight="1">
      <c r="I875" s="6"/>
    </row>
    <row r="876" ht="15.75" customHeight="1">
      <c r="I876" s="6"/>
    </row>
    <row r="877" ht="15.75" customHeight="1">
      <c r="I877" s="6"/>
    </row>
    <row r="878" ht="15.75" customHeight="1">
      <c r="I878" s="6"/>
    </row>
    <row r="879" ht="15.75" customHeight="1">
      <c r="I879" s="6"/>
    </row>
    <row r="880" ht="15.75" customHeight="1">
      <c r="I880" s="6"/>
    </row>
    <row r="881" ht="15.75" customHeight="1">
      <c r="I881" s="6"/>
    </row>
    <row r="882" ht="15.75" customHeight="1">
      <c r="I882" s="6"/>
    </row>
    <row r="883" ht="15.75" customHeight="1">
      <c r="I883" s="6"/>
    </row>
    <row r="884" ht="15.75" customHeight="1">
      <c r="I884" s="6"/>
    </row>
    <row r="885" ht="15.75" customHeight="1">
      <c r="I885" s="6"/>
    </row>
    <row r="886" ht="15.75" customHeight="1">
      <c r="I886" s="6"/>
    </row>
    <row r="887" ht="15.75" customHeight="1">
      <c r="I887" s="6"/>
    </row>
    <row r="888" ht="15.75" customHeight="1">
      <c r="I888" s="6"/>
    </row>
    <row r="889" ht="15.75" customHeight="1">
      <c r="I889" s="6"/>
    </row>
    <row r="890" ht="15.75" customHeight="1">
      <c r="I890" s="6"/>
    </row>
    <row r="891" ht="15.75" customHeight="1">
      <c r="I891" s="6"/>
    </row>
    <row r="892" ht="15.75" customHeight="1">
      <c r="I892" s="6"/>
    </row>
    <row r="893" ht="15.75" customHeight="1">
      <c r="I893" s="6"/>
    </row>
    <row r="894" ht="15.75" customHeight="1">
      <c r="I894" s="6"/>
    </row>
    <row r="895" ht="15.75" customHeight="1">
      <c r="I895" s="6"/>
    </row>
    <row r="896" ht="15.75" customHeight="1">
      <c r="I896" s="6"/>
    </row>
    <row r="897" ht="15.75" customHeight="1">
      <c r="I897" s="6"/>
    </row>
    <row r="898" ht="15.75" customHeight="1">
      <c r="I898" s="6"/>
    </row>
    <row r="899" ht="15.75" customHeight="1">
      <c r="I899" s="6"/>
    </row>
    <row r="900" ht="15.75" customHeight="1">
      <c r="I900" s="6"/>
    </row>
    <row r="901" ht="15.75" customHeight="1">
      <c r="I901" s="6"/>
    </row>
    <row r="902" ht="15.75" customHeight="1">
      <c r="I902" s="6"/>
    </row>
    <row r="903" ht="15.75" customHeight="1">
      <c r="I903" s="6"/>
    </row>
    <row r="904" ht="15.75" customHeight="1">
      <c r="I904" s="6"/>
    </row>
    <row r="905" ht="15.75" customHeight="1">
      <c r="I905" s="6"/>
    </row>
    <row r="906" ht="15.75" customHeight="1">
      <c r="I906" s="6"/>
    </row>
    <row r="907" ht="15.75" customHeight="1">
      <c r="I907" s="6"/>
    </row>
    <row r="908" ht="15.75" customHeight="1">
      <c r="I908" s="6"/>
    </row>
    <row r="909" ht="15.75" customHeight="1">
      <c r="I909" s="6"/>
    </row>
    <row r="910" ht="15.75" customHeight="1">
      <c r="I910" s="6"/>
    </row>
    <row r="911" ht="15.75" customHeight="1">
      <c r="I911" s="6"/>
    </row>
    <row r="912" ht="15.75" customHeight="1">
      <c r="I912" s="6"/>
    </row>
    <row r="913" ht="15.75" customHeight="1">
      <c r="I913" s="6"/>
    </row>
    <row r="914" ht="15.75" customHeight="1">
      <c r="I914" s="6"/>
    </row>
    <row r="915" ht="15.75" customHeight="1">
      <c r="I915" s="6"/>
    </row>
    <row r="916" ht="15.75" customHeight="1">
      <c r="I916" s="6"/>
    </row>
    <row r="917" ht="15.75" customHeight="1">
      <c r="I917" s="6"/>
    </row>
    <row r="918" ht="15.75" customHeight="1">
      <c r="I918" s="6"/>
    </row>
    <row r="919" ht="15.75" customHeight="1">
      <c r="I919" s="6"/>
    </row>
    <row r="920" ht="15.75" customHeight="1">
      <c r="I920" s="6"/>
    </row>
    <row r="921" ht="15.75" customHeight="1">
      <c r="I921" s="6"/>
    </row>
    <row r="922" ht="15.75" customHeight="1">
      <c r="I922" s="6"/>
    </row>
    <row r="923" ht="15.75" customHeight="1">
      <c r="I923" s="6"/>
    </row>
    <row r="924" ht="15.75" customHeight="1">
      <c r="I924" s="6"/>
    </row>
    <row r="925" ht="15.75" customHeight="1">
      <c r="I925" s="6"/>
    </row>
    <row r="926" ht="15.75" customHeight="1">
      <c r="I926" s="6"/>
    </row>
    <row r="927" ht="15.75" customHeight="1">
      <c r="I927" s="6"/>
    </row>
    <row r="928" ht="15.75" customHeight="1">
      <c r="I928" s="6"/>
    </row>
    <row r="929" ht="15.75" customHeight="1">
      <c r="I929" s="6"/>
    </row>
    <row r="930" ht="15.75" customHeight="1">
      <c r="I930" s="6"/>
    </row>
    <row r="931" ht="15.75" customHeight="1">
      <c r="I931" s="6"/>
    </row>
    <row r="932" ht="15.75" customHeight="1">
      <c r="I932" s="6"/>
    </row>
    <row r="933" ht="15.75" customHeight="1">
      <c r="I933" s="6"/>
    </row>
    <row r="934" ht="15.75" customHeight="1">
      <c r="I934" s="6"/>
    </row>
    <row r="935" ht="15.75" customHeight="1">
      <c r="I935" s="6"/>
    </row>
    <row r="936" ht="15.75" customHeight="1">
      <c r="I936" s="6"/>
    </row>
    <row r="937" ht="15.75" customHeight="1">
      <c r="I937" s="6"/>
    </row>
    <row r="938" ht="15.75" customHeight="1">
      <c r="I938" s="6"/>
    </row>
    <row r="939" ht="15.75" customHeight="1">
      <c r="I939" s="6"/>
    </row>
    <row r="940" ht="15.75" customHeight="1">
      <c r="I940" s="6"/>
    </row>
    <row r="941" ht="15.75" customHeight="1">
      <c r="I941" s="6"/>
    </row>
    <row r="942" ht="15.75" customHeight="1">
      <c r="I942" s="6"/>
    </row>
    <row r="943" ht="15.75" customHeight="1">
      <c r="I943" s="6"/>
    </row>
    <row r="944" ht="15.75" customHeight="1">
      <c r="I944" s="6"/>
    </row>
    <row r="945" ht="15.75" customHeight="1">
      <c r="I945" s="6"/>
    </row>
    <row r="946" ht="15.75" customHeight="1">
      <c r="I946" s="6"/>
    </row>
    <row r="947" ht="15.75" customHeight="1">
      <c r="I947" s="6"/>
    </row>
    <row r="948" ht="15.75" customHeight="1">
      <c r="I948" s="6"/>
    </row>
    <row r="949" ht="15.75" customHeight="1">
      <c r="I949" s="6"/>
    </row>
    <row r="950" ht="15.75" customHeight="1">
      <c r="I950" s="6"/>
    </row>
    <row r="951" ht="15.75" customHeight="1">
      <c r="I951" s="6"/>
    </row>
    <row r="952" ht="15.75" customHeight="1">
      <c r="I952" s="6"/>
    </row>
    <row r="953" ht="15.75" customHeight="1">
      <c r="I953" s="6"/>
    </row>
    <row r="954" ht="15.75" customHeight="1">
      <c r="I954" s="6"/>
    </row>
    <row r="955" ht="15.75" customHeight="1">
      <c r="I955" s="6"/>
    </row>
    <row r="956" ht="15.75" customHeight="1">
      <c r="I956" s="6"/>
    </row>
    <row r="957" ht="15.75" customHeight="1">
      <c r="I957" s="6"/>
    </row>
    <row r="958" ht="15.75" customHeight="1">
      <c r="I958" s="6"/>
    </row>
    <row r="959" ht="15.75" customHeight="1">
      <c r="I959" s="6"/>
    </row>
    <row r="960" ht="15.75" customHeight="1">
      <c r="I960" s="6"/>
    </row>
    <row r="961" ht="15.75" customHeight="1">
      <c r="I961" s="6"/>
    </row>
    <row r="962" ht="15.75" customHeight="1">
      <c r="I962" s="6"/>
    </row>
    <row r="963" ht="15.75" customHeight="1">
      <c r="I963" s="6"/>
    </row>
    <row r="964" ht="15.75" customHeight="1">
      <c r="I964" s="6"/>
    </row>
    <row r="965" ht="15.75" customHeight="1">
      <c r="I965" s="6"/>
    </row>
    <row r="966" ht="15.75" customHeight="1">
      <c r="I966" s="6"/>
    </row>
    <row r="967" ht="15.75" customHeight="1">
      <c r="I967" s="6"/>
    </row>
    <row r="968" ht="15.75" customHeight="1">
      <c r="I968" s="6"/>
    </row>
    <row r="969" ht="15.75" customHeight="1">
      <c r="I969" s="6"/>
    </row>
    <row r="970" ht="15.75" customHeight="1">
      <c r="I970" s="6"/>
    </row>
    <row r="971" ht="15.75" customHeight="1">
      <c r="I971" s="6"/>
    </row>
    <row r="972" ht="15.75" customHeight="1">
      <c r="I972" s="6"/>
    </row>
    <row r="973" ht="15.75" customHeight="1">
      <c r="I973" s="6"/>
    </row>
    <row r="974" ht="15.75" customHeight="1">
      <c r="I974" s="6"/>
    </row>
    <row r="975" ht="15.75" customHeight="1">
      <c r="I975" s="6"/>
    </row>
    <row r="976" ht="15.75" customHeight="1">
      <c r="I976" s="6"/>
    </row>
    <row r="977" ht="15.75" customHeight="1">
      <c r="I977" s="6"/>
    </row>
    <row r="978" ht="15.75" customHeight="1">
      <c r="I978" s="6"/>
    </row>
    <row r="979" ht="15.75" customHeight="1">
      <c r="I979" s="6"/>
    </row>
    <row r="980" ht="15.75" customHeight="1">
      <c r="I980" s="6"/>
    </row>
    <row r="981" ht="15.75" customHeight="1">
      <c r="I981" s="6"/>
    </row>
    <row r="982" ht="15.75" customHeight="1">
      <c r="I982" s="6"/>
    </row>
  </sheetData>
  <dataValidations>
    <dataValidation type="list" allowBlank="1" sqref="H8:H72">
      <formula1>"Planned,Purchased,Reused - market value,Donated - market value,Backup"</formula1>
    </dataValidation>
    <dataValidation type="list" allowBlank="1" sqref="G8:G72">
      <formula1>"Yes,No"</formula1>
    </dataValidation>
  </dataValidations>
  <hyperlinks>
    <hyperlink r:id="rId1" ref="I8"/>
    <hyperlink r:id="rId2" ref="I10"/>
    <hyperlink r:id="rId3" ref="J10"/>
    <hyperlink r:id="rId4" ref="J15"/>
    <hyperlink r:id="rId5" ref="I16"/>
    <hyperlink r:id="rId6" ref="J23"/>
    <hyperlink r:id="rId7" ref="I25"/>
    <hyperlink r:id="rId8" ref="J25"/>
    <hyperlink r:id="rId9" ref="I26"/>
    <hyperlink r:id="rId10" ref="J26"/>
    <hyperlink r:id="rId11" ref="I30"/>
    <hyperlink r:id="rId12" ref="F73"/>
    <hyperlink r:id="rId13" ref="F74"/>
    <hyperlink r:id="rId14" ref="F75"/>
    <hyperlink r:id="rId15" ref="F76"/>
    <hyperlink r:id="rId16" ref="F77"/>
  </hyperlinks>
  <printOptions/>
  <pageMargins bottom="1.0" footer="0.0" header="0.0" left="0.75" right="0.75" top="1.0"/>
  <pageSetup paperSize="9" orientation="portrait"/>
  <drawing r:id="rId17"/>
  <tableParts count="2">
    <tablePart r:id="rId20"/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1" t="s">
        <v>0</v>
      </c>
    </row>
    <row r="2">
      <c r="A2" s="2" t="s">
        <v>2</v>
      </c>
    </row>
    <row r="3">
      <c r="A3" s="2" t="s">
        <v>3</v>
      </c>
    </row>
    <row r="4">
      <c r="A4" s="2" t="s">
        <v>4</v>
      </c>
    </row>
    <row r="5">
      <c r="A5" s="2" t="s">
        <v>5</v>
      </c>
    </row>
    <row r="6">
      <c r="A6" s="2" t="s">
        <v>7</v>
      </c>
    </row>
    <row r="7">
      <c r="A7" s="2" t="s">
        <v>9</v>
      </c>
    </row>
    <row r="8">
      <c r="A8" s="2" t="s">
        <v>10</v>
      </c>
    </row>
    <row r="9">
      <c r="A9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30.0"/>
    <col customWidth="1" min="3" max="3" width="80.0"/>
    <col customWidth="1" min="4" max="26" width="8.71"/>
  </cols>
  <sheetData>
    <row r="1">
      <c r="A1" s="3" t="s">
        <v>1</v>
      </c>
      <c r="B1" s="3" t="s">
        <v>6</v>
      </c>
      <c r="C1" s="3" t="s">
        <v>8</v>
      </c>
    </row>
    <row r="2">
      <c r="A2" s="4" t="s">
        <v>11</v>
      </c>
      <c r="B2" s="4" t="s">
        <v>13</v>
      </c>
      <c r="C2" s="4" t="s">
        <v>14</v>
      </c>
    </row>
    <row r="3">
      <c r="A3" s="4" t="s">
        <v>16</v>
      </c>
      <c r="B3" s="4" t="s">
        <v>17</v>
      </c>
      <c r="C3" s="4"/>
    </row>
    <row r="4">
      <c r="A4" s="4" t="s">
        <v>18</v>
      </c>
      <c r="B4" s="4" t="s">
        <v>19</v>
      </c>
      <c r="C4" s="4"/>
    </row>
    <row r="5">
      <c r="A5" s="4" t="s">
        <v>20</v>
      </c>
      <c r="B5" s="4" t="s">
        <v>21</v>
      </c>
      <c r="C5" s="4" t="s">
        <v>22</v>
      </c>
    </row>
    <row r="6">
      <c r="A6" s="4" t="s">
        <v>23</v>
      </c>
      <c r="B6" s="4" t="s">
        <v>24</v>
      </c>
      <c r="C6" s="4" t="s">
        <v>25</v>
      </c>
    </row>
    <row r="7">
      <c r="A7" s="4" t="s">
        <v>26</v>
      </c>
      <c r="B7" s="4" t="s">
        <v>27</v>
      </c>
      <c r="C7" s="4" t="s">
        <v>28</v>
      </c>
    </row>
    <row r="8">
      <c r="A8" s="4" t="s">
        <v>29</v>
      </c>
      <c r="B8" s="4" t="s">
        <v>30</v>
      </c>
      <c r="C8" s="4" t="s">
        <v>32</v>
      </c>
    </row>
    <row r="9">
      <c r="A9" s="4" t="s">
        <v>33</v>
      </c>
      <c r="B9" s="4" t="s">
        <v>34</v>
      </c>
      <c r="C9" s="4" t="s">
        <v>35</v>
      </c>
    </row>
    <row r="10">
      <c r="A10" s="4" t="s">
        <v>36</v>
      </c>
      <c r="B10" s="4" t="s">
        <v>37</v>
      </c>
      <c r="C10" s="4" t="s">
        <v>38</v>
      </c>
    </row>
    <row r="11">
      <c r="A11" s="4" t="s">
        <v>39</v>
      </c>
      <c r="B11" s="4" t="s">
        <v>40</v>
      </c>
      <c r="C11" s="4" t="s">
        <v>41</v>
      </c>
    </row>
    <row r="13">
      <c r="A13" s="10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