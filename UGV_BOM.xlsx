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Notes" sheetId="2" state="visible" r:id="rId4"/>
    <sheet name="Pin ma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<sst xmlns="http://schemas.openxmlformats.org/spreadsheetml/2006/main" count="165" uniqueCount="110">
  <si>
    <t xml:space="preserve">UGV Bill of Materials - PEO Ottawa Chapter Robotics Competition</t>
  </si>
  <si>
    <t xml:space="preserve">Assumptions (edit blue cells)</t>
  </si>
  <si>
    <t xml:space="preserve">Cost summary (CAD)</t>
  </si>
  <si>
    <t xml:space="preserve">HST rate (Ontario)</t>
  </si>
  <si>
    <t xml:space="preserve">Subtotal (pre-tax)</t>
  </si>
  <si>
    <t xml:space="preserve">Target build cost (CAD, incl. tax)</t>
  </si>
  <si>
    <t xml:space="preserve">HST</t>
  </si>
  <si>
    <t xml:space="preserve">Hard cap (CAD, incl. tax)</t>
  </si>
  <si>
    <t xml:space="preserve">Total incl. tax</t>
  </si>
  <si>
    <t xml:space="preserve">Remaining vs CAD 100 target</t>
  </si>
  <si>
    <t xml:space="preserve">Remaining vs CAD 500 hard cap</t>
  </si>
  <si>
    <t xml:space="preserve">Status</t>
  </si>
  <si>
    <t xml:space="preserve">Legend: blue = inputs you can change; yellow = enter the real price from your receipt (pre-tax); set Include? to No to remove an optional part from totals.</t>
  </si>
  <si>
    <t xml:space="preserve">Reused parts count at reasonable market value (rules s.5). Prices are rough estimates, not quotes - replace with real prices as you buy.</t>
  </si>
  <si>
    <t xml:space="preserve">#</t>
  </si>
  <si>
    <t xml:space="preserve">Part</t>
  </si>
  <si>
    <t xml:space="preserve">Subsystem</t>
  </si>
  <si>
    <t xml:space="preserve">Qty</t>
  </si>
  <si>
    <t xml:space="preserve">Est. unit (CAD, pre-tax)</t>
  </si>
  <si>
    <t xml:space="preserve">Actual unit (CAD, pre-tax)</t>
  </si>
  <si>
    <t xml:space="preserve">Include?</t>
  </si>
  <si>
    <t xml:space="preserve">Line cost (CAD, pre-tax)</t>
  </si>
  <si>
    <t xml:space="preserve">Notes</t>
  </si>
  <si>
    <t xml:space="preserve">ESP32-CAM (OV2640)</t>
  </si>
  <si>
    <t xml:space="preserve">Compute, Camera &amp; Control</t>
  </si>
  <si>
    <t xml:space="preserve">Yes</t>
  </si>
  <si>
    <t xml:space="preserve">Reused - market value</t>
  </si>
  <si>
    <t xml:space="preserve">Single board: video stream, control and autonomy. Already owned; costed at market value.</t>
  </si>
  <si>
    <t xml:space="preserve">ESP32-CAM-MB USB programmer</t>
  </si>
  <si>
    <t xml:space="preserve">Planned</t>
  </si>
  <si>
    <t xml:space="preserve">ESP32-CAM has no USB port. Skip if you already own a USB-serial adapter.</t>
  </si>
  <si>
    <t xml:space="preserve">12 V geared DC motor with encoder (JGA25-370 class)</t>
  </si>
  <si>
    <t xml:space="preserve">Drive</t>
  </si>
  <si>
    <t xml:space="preserve">Run from 2S (7.4 V) for lower, smoother top speed. Check stall current against the driver rating.</t>
  </si>
  <si>
    <t xml:space="preserve">DRV8833 dual motor driver</t>
  </si>
  <si>
    <t xml:space="preserve">4 control pins (GPIO 12-15). Add pull-down resistors so motors cannot twitch at boot.</t>
  </si>
  <si>
    <t xml:space="preserve">Wheel ~65 mm with hub</t>
  </si>
  <si>
    <t xml:space="preserve">Rubber tyres for grip on unknown surface.</t>
  </si>
  <si>
    <t xml:space="preserve">Ball caster</t>
  </si>
  <si>
    <t xml:space="preserve">Differential drive, one caster.</t>
  </si>
  <si>
    <t xml:space="preserve">MPU6050 IMU</t>
  </si>
  <si>
    <t xml:space="preserve">Sensing</t>
  </si>
  <si>
    <t xml:space="preserve">I2C. Heading hold and turn control.</t>
  </si>
  <si>
    <t xml:space="preserve">VL53L0X ToF distance sensor</t>
  </si>
  <si>
    <t xml:space="preserve">I2C, shares the same two wires as the IMU (saves pins vs ultrasonic).</t>
  </si>
  <si>
    <t xml:space="preserve">2S LiPo ~1500 mAh</t>
  </si>
  <si>
    <t xml:space="preserve">Power &amp; Safety</t>
  </si>
  <si>
    <t xml:space="preserve">Needs approved charger and safe storage per rules s.4.2.1.</t>
  </si>
  <si>
    <t xml:space="preserve">5 V buck converter (3 A)</t>
  </si>
  <si>
    <t xml:space="preserve">Powers the ESP32-CAM. Add a 470 uF capacitor near its 5 V pin to avoid Wi-Fi brown-outs.</t>
  </si>
  <si>
    <t xml:space="preserve">Master power switch (rated for motor current)</t>
  </si>
  <si>
    <t xml:space="preserve">Physical disconnect on propulsion power; must be easily accessible.</t>
  </si>
  <si>
    <t xml:space="preserve">Inline fuse holder + fuse</t>
  </si>
  <si>
    <t xml:space="preserve">Wiring, connectors, pull-down resistors, capacitor</t>
  </si>
  <si>
    <t xml:space="preserve">XT30, JST, headers, 10k resistors, 470 uF cap.</t>
  </si>
  <si>
    <t xml:space="preserve">Chassis material (PETG filament or acrylic sheet)</t>
  </si>
  <si>
    <t xml:space="preserve">Structure</t>
  </si>
  <si>
    <t xml:space="preserve">Include low-mounted open-top payload cradle; keep top unobstructed.</t>
  </si>
  <si>
    <t xml:space="preserve">Fasteners, standoffs, zip ties</t>
  </si>
  <si>
    <t xml:space="preserve">PCF8574 I2C GPIO expander</t>
  </si>
  <si>
    <t xml:space="preserve">No</t>
  </si>
  <si>
    <t xml:space="preserve">Optional: adds 8 pins if you run short.</t>
  </si>
  <si>
    <t xml:space="preserve">Arduino Nano 33 (fallback second controller)</t>
  </si>
  <si>
    <t xml:space="preserve">Owned. Only used if one board runs out of pins or frame rate suffers. Costed at market value (~35 is a rough estimate; IoT/BLE variants differ). Its onboard IMU could replace the MPU6050.</t>
  </si>
  <si>
    <t xml:space="preserve">Handheld controller (ESP32 + joystick module)</t>
  </si>
  <si>
    <t xml:space="preserve">Optional: or drive from a laptop gamepad over Wi-Fi to avoid this cost.</t>
  </si>
  <si>
    <t xml:space="preserve">LiPo balance charger</t>
  </si>
  <si>
    <t xml:space="preserve">May be excluded from cap (committee decision pending) - ask organizers.</t>
  </si>
  <si>
    <t xml:space="preserve">Cost by subsystem (pre-tax, included parts)</t>
  </si>
  <si>
    <t xml:space="preserve">Total (check = subtotal)</t>
  </si>
  <si>
    <t xml:space="preserve">Assumptions and sources</t>
  </si>
  <si>
    <t xml:space="preserve">Prices are rough estimates for typical hobby-electronics suppliers in Canada, not quotes. Replace with actual receipt prices in the yellow column.</t>
  </si>
  <si>
    <t xml:space="preserve">Cost rules (draft competition rules s.5): purchased parts count at actual cost incl. tax; reused and donated parts at reasonable market value; hard cap CAD 500; target CAD 100.</t>
  </si>
  <si>
    <t xml:space="preserve">Tax is applied to the full subtotal (including reused parts) as a conservative estimate; confirm treatment with organizers.</t>
  </si>
  <si>
    <t xml:space="preserve">Open item: whether laptops, tools, test equipment and chargers count toward the cap is undecided by the committee. Chargers are listed as optional (Include? = No).</t>
  </si>
  <si>
    <t xml:space="preserve">Not used in this build: Raspberry Pi 5 and Hobbywing EZRUN MAX10 G2 ESC / 3652 motor - at market value they would consume most of the budget.</t>
  </si>
  <si>
    <t xml:space="preserve">Single-board design: the ESP32-CAM runs video, control and autonomy. An owned Arduino Nano 33 is listed as an optional fallback (Include? = No); if used it counts at market value. See the Pin map sheet.</t>
  </si>
  <si>
    <t xml:space="preserve">Safety: master switch must physically disconnect propulsion power; a software or radio kill alone does not satisfy the rule (s.4.2.1).</t>
  </si>
  <si>
    <t xml:space="preserve">Keep all receipts; the design record needs the BOM and total cost, and organizers may request verification.</t>
  </si>
  <si>
    <t xml:space="preserve">GPIO</t>
  </si>
  <si>
    <t xml:space="preserve">Planned function</t>
  </si>
  <si>
    <t xml:space="preserve">12</t>
  </si>
  <si>
    <t xml:space="preserve">Motor A input 1 (PWM)</t>
  </si>
  <si>
    <t xml:space="preserve">Strapping pin: must be low at boot - add pull-down.</t>
  </si>
  <si>
    <t xml:space="preserve">13</t>
  </si>
  <si>
    <t xml:space="preserve">Motor A input 2 (PWM)</t>
  </si>
  <si>
    <t xml:space="preserve">14</t>
  </si>
  <si>
    <t xml:space="preserve">Motor B input 1 (PWM)</t>
  </si>
  <si>
    <t xml:space="preserve">15</t>
  </si>
  <si>
    <t xml:space="preserve">Motor B input 2 (PWM)</t>
  </si>
  <si>
    <t xml:space="preserve">Strapping pin (boot log) - add pull-down.</t>
  </si>
  <si>
    <t xml:space="preserve">1</t>
  </si>
  <si>
    <t xml:space="preserve">I2C SDA (IMU + 2x ToF)</t>
  </si>
  <si>
    <t xml:space="preserve">UART TX pin: disconnect the I2C bus while flashing; no serial debug, use Wi-Fi telemetry.</t>
  </si>
  <si>
    <t xml:space="preserve">3</t>
  </si>
  <si>
    <t xml:space="preserve">I2C SCL</t>
  </si>
  <si>
    <t xml:space="preserve">UART RX pin: same flashing note.</t>
  </si>
  <si>
    <t xml:space="preserve">2</t>
  </si>
  <si>
    <t xml:space="preserve">Left wheel encoder</t>
  </si>
  <si>
    <t xml:space="preserve">Strapping pin: keep floating/low during programming.</t>
  </si>
  <si>
    <t xml:space="preserve">4</t>
  </si>
  <si>
    <t xml:space="preserve">Right wheel encoder</t>
  </si>
  <si>
    <t xml:space="preserve">Shares the onboard flash LED, which may flicker.</t>
  </si>
  <si>
    <t xml:space="preserve">33</t>
  </si>
  <si>
    <t xml:space="preserve">Spare</t>
  </si>
  <si>
    <t xml:space="preserve">Onboard red LED pin, usable if you need one more input.</t>
  </si>
  <si>
    <t xml:space="preserve">0, 5, 18-27, 32, 34-36, 39</t>
  </si>
  <si>
    <t xml:space="preserve">Camera (do not use)</t>
  </si>
  <si>
    <t xml:space="preserve">Reserved by the OV2640 camera.</t>
  </si>
  <si>
    <t xml:space="preserve">Assumes the AI-Thinker ESP32-CAM with SD card unused. Verify against your board's pinout before wiring.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</si>
</sst>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$#,##0.00;&quot;($&quot;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7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26"/>
    <col collapsed="false" customWidth="true" hidden="false" outlineLevel="0" max="4" min="4" style="0" width="6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16"/>
    <col collapsed="false" customWidth="true" hidden="false" outlineLevel="0" max="10" min="10" style="0" width="58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E3" s="2" t="s">
        <v>2</v>
      </c>
    </row>
    <row r="4" customFormat="false" ht="15" hidden="false" customHeight="false" outlineLevel="0" collapsed="false">
      <c r="A4" s="3" t="s">
        <v>3</v>
      </c>
      <c r="C4" s="4" t="n">
        <v>0.13</v>
      </c>
      <c r="E4" s="3" t="s">
        <v>4</v>
      </c>
      <c r="H4" s="5" t="n">
        <f aca="false">SUM(I18:I36)</f>
        <v>106</v>
      </c>
    </row>
    <row r="5" customFormat="false" ht="15" hidden="false" customHeight="false" outlineLevel="0" collapsed="false">
      <c r="A5" s="3" t="s">
        <v>5</v>
      </c>
      <c r="C5" s="6" t="n">
        <v>100</v>
      </c>
      <c r="E5" s="3" t="s">
        <v>6</v>
      </c>
      <c r="H5" s="5" t="n">
        <f aca="false">H4*C4</f>
        <v>13.78</v>
      </c>
    </row>
    <row r="6" customFormat="false" ht="15" hidden="false" customHeight="false" outlineLevel="0" collapsed="false">
      <c r="A6" s="3" t="s">
        <v>7</v>
      </c>
      <c r="C6" s="6" t="n">
        <v>500</v>
      </c>
      <c r="E6" s="2" t="s">
        <v>8</v>
      </c>
      <c r="H6" s="7" t="n">
        <f aca="false">H4+H5</f>
        <v>119.78</v>
      </c>
    </row>
    <row r="7" customFormat="false" ht="15" hidden="false" customHeight="false" outlineLevel="0" collapsed="false">
      <c r="E7" s="3" t="s">
        <v>9</v>
      </c>
      <c r="H7" s="5" t="n">
        <f aca="false">C5-H6</f>
        <v>-19.78</v>
      </c>
    </row>
    <row r="8" customFormat="false" ht="15" hidden="false" customHeight="false" outlineLevel="0" collapsed="false">
      <c r="E8" s="3" t="s">
        <v>10</v>
      </c>
      <c r="H8" s="5" t="n">
        <f aca="false">C6-H6</f>
        <v>380.22</v>
      </c>
    </row>
    <row r="9" customFormat="false" ht="15" hidden="false" customHeight="false" outlineLevel="0" collapsed="false">
      <c r="E9" s="3" t="s">
        <v>11</v>
      </c>
      <c r="H9" s="2" t="str">
        <f aca="false">IF(H6&gt;C6,"OVER HARD CAP",IF(H6&gt;C5,"Over $100 target, under cap","Under $100 target"))</f>
        <v>Over $100 target, under cap</v>
      </c>
    </row>
    <row r="11" customFormat="false" ht="15" hidden="false" customHeight="false" outlineLevel="0" collapsed="false">
      <c r="A11" s="8" t="s">
        <v>12</v>
      </c>
    </row>
    <row r="12" customFormat="false" ht="15" hidden="false" customHeight="false" outlineLevel="0" collapsed="false">
      <c r="A12" s="8" t="s">
        <v>13</v>
      </c>
    </row>
    <row r="17" customFormat="false" ht="31.5" hidden="false" customHeight="true" outlineLevel="0" collapsed="false">
      <c r="A17" s="9" t="s">
        <v>14</v>
      </c>
      <c r="B17" s="9" t="s">
        <v>15</v>
      </c>
      <c r="C17" s="9" t="s">
        <v>16</v>
      </c>
      <c r="D17" s="9" t="s">
        <v>17</v>
      </c>
      <c r="E17" s="9" t="s">
        <v>18</v>
      </c>
      <c r="F17" s="9" t="s">
        <v>19</v>
      </c>
      <c r="G17" s="9" t="s">
        <v>20</v>
      </c>
      <c r="H17" s="9" t="s">
        <v>11</v>
      </c>
      <c r="I17" s="9" t="s">
        <v>21</v>
      </c>
      <c r="J17" s="9" t="s">
        <v>22</v>
      </c>
    </row>
    <row r="18" customFormat="false" ht="23.85" hidden="false" customHeight="false" outlineLevel="0" collapsed="false">
      <c r="A18" s="10" t="n">
        <v>1</v>
      </c>
      <c r="B18" s="11" t="s">
        <v>23</v>
      </c>
      <c r="C18" s="10" t="s">
        <v>24</v>
      </c>
      <c r="D18" s="12" t="n">
        <v>1</v>
      </c>
      <c r="E18" s="13" t="n">
        <v>12</v>
      </c>
      <c r="F18" s="14"/>
      <c r="G18" s="12" t="s">
        <v>25</v>
      </c>
      <c r="H18" s="15" t="s">
        <v>26</v>
      </c>
      <c r="I18" s="16" t="n">
        <f aca="false">IF(G18="Yes",D18*IF(F18="",E18,F18),0)</f>
        <v>12</v>
      </c>
      <c r="J18" s="11" t="s">
        <v>27</v>
      </c>
    </row>
    <row r="19" customFormat="false" ht="23.85" hidden="false" customHeight="false" outlineLevel="0" collapsed="false">
      <c r="A19" s="10" t="n">
        <v>2</v>
      </c>
      <c r="B19" s="11" t="s">
        <v>28</v>
      </c>
      <c r="C19" s="10" t="s">
        <v>24</v>
      </c>
      <c r="D19" s="12" t="n">
        <v>1</v>
      </c>
      <c r="E19" s="13" t="n">
        <v>4</v>
      </c>
      <c r="F19" s="14"/>
      <c r="G19" s="12" t="s">
        <v>25</v>
      </c>
      <c r="H19" s="15" t="s">
        <v>29</v>
      </c>
      <c r="I19" s="16" t="n">
        <f aca="false">IF(G19="Yes",D19*IF(F19="",E19,F19),0)</f>
        <v>4</v>
      </c>
      <c r="J19" s="11" t="s">
        <v>30</v>
      </c>
    </row>
    <row r="20" customFormat="false" ht="23.85" hidden="false" customHeight="false" outlineLevel="0" collapsed="false">
      <c r="A20" s="10" t="n">
        <v>3</v>
      </c>
      <c r="B20" s="11" t="s">
        <v>31</v>
      </c>
      <c r="C20" s="10" t="s">
        <v>32</v>
      </c>
      <c r="D20" s="12" t="n">
        <v>2</v>
      </c>
      <c r="E20" s="13" t="n">
        <v>10</v>
      </c>
      <c r="F20" s="14"/>
      <c r="G20" s="12" t="s">
        <v>25</v>
      </c>
      <c r="H20" s="15" t="s">
        <v>29</v>
      </c>
      <c r="I20" s="16" t="n">
        <f aca="false">IF(G20="Yes",D20*IF(F20="",E20,F20),0)</f>
        <v>20</v>
      </c>
      <c r="J20" s="11" t="s">
        <v>33</v>
      </c>
    </row>
    <row r="21" customFormat="false" ht="23.85" hidden="false" customHeight="false" outlineLevel="0" collapsed="false">
      <c r="A21" s="10" t="n">
        <v>4</v>
      </c>
      <c r="B21" s="11" t="s">
        <v>34</v>
      </c>
      <c r="C21" s="10" t="s">
        <v>32</v>
      </c>
      <c r="D21" s="12" t="n">
        <v>1</v>
      </c>
      <c r="E21" s="13" t="n">
        <v>4</v>
      </c>
      <c r="F21" s="14"/>
      <c r="G21" s="12" t="s">
        <v>25</v>
      </c>
      <c r="H21" s="15" t="s">
        <v>29</v>
      </c>
      <c r="I21" s="16" t="n">
        <f aca="false">IF(G21="Yes",D21*IF(F21="",E21,F21),0)</f>
        <v>4</v>
      </c>
      <c r="J21" s="11" t="s">
        <v>35</v>
      </c>
    </row>
    <row r="22" customFormat="false" ht="15" hidden="false" customHeight="false" outlineLevel="0" collapsed="false">
      <c r="A22" s="10" t="n">
        <v>5</v>
      </c>
      <c r="B22" s="11" t="s">
        <v>36</v>
      </c>
      <c r="C22" s="10" t="s">
        <v>32</v>
      </c>
      <c r="D22" s="12" t="n">
        <v>2</v>
      </c>
      <c r="E22" s="13" t="n">
        <v>4</v>
      </c>
      <c r="F22" s="14"/>
      <c r="G22" s="12" t="s">
        <v>25</v>
      </c>
      <c r="H22" s="15" t="s">
        <v>29</v>
      </c>
      <c r="I22" s="16" t="n">
        <f aca="false">IF(G22="Yes",D22*IF(F22="",E22,F22),0)</f>
        <v>8</v>
      </c>
      <c r="J22" s="11" t="s">
        <v>37</v>
      </c>
    </row>
    <row r="23" customFormat="false" ht="15" hidden="false" customHeight="false" outlineLevel="0" collapsed="false">
      <c r="A23" s="10" t="n">
        <v>6</v>
      </c>
      <c r="B23" s="11" t="s">
        <v>38</v>
      </c>
      <c r="C23" s="10" t="s">
        <v>32</v>
      </c>
      <c r="D23" s="12" t="n">
        <v>1</v>
      </c>
      <c r="E23" s="13" t="n">
        <v>3</v>
      </c>
      <c r="F23" s="14"/>
      <c r="G23" s="12" t="s">
        <v>25</v>
      </c>
      <c r="H23" s="15" t="s">
        <v>29</v>
      </c>
      <c r="I23" s="16" t="n">
        <f aca="false">IF(G23="Yes",D23*IF(F23="",E23,F23),0)</f>
        <v>3</v>
      </c>
      <c r="J23" s="11" t="s">
        <v>39</v>
      </c>
    </row>
    <row r="24" customFormat="false" ht="15" hidden="false" customHeight="false" outlineLevel="0" collapsed="false">
      <c r="A24" s="10" t="n">
        <v>7</v>
      </c>
      <c r="B24" s="11" t="s">
        <v>40</v>
      </c>
      <c r="C24" s="10" t="s">
        <v>41</v>
      </c>
      <c r="D24" s="12" t="n">
        <v>1</v>
      </c>
      <c r="E24" s="13" t="n">
        <v>4</v>
      </c>
      <c r="F24" s="14"/>
      <c r="G24" s="12" t="s">
        <v>25</v>
      </c>
      <c r="H24" s="15" t="s">
        <v>29</v>
      </c>
      <c r="I24" s="16" t="n">
        <f aca="false">IF(G24="Yes",D24*IF(F24="",E24,F24),0)</f>
        <v>4</v>
      </c>
      <c r="J24" s="11" t="s">
        <v>42</v>
      </c>
    </row>
    <row r="25" customFormat="false" ht="15" hidden="false" customHeight="false" outlineLevel="0" collapsed="false">
      <c r="A25" s="10" t="n">
        <v>8</v>
      </c>
      <c r="B25" s="11" t="s">
        <v>43</v>
      </c>
      <c r="C25" s="10" t="s">
        <v>41</v>
      </c>
      <c r="D25" s="12" t="n">
        <v>2</v>
      </c>
      <c r="E25" s="13" t="n">
        <v>5</v>
      </c>
      <c r="F25" s="14"/>
      <c r="G25" s="12" t="s">
        <v>25</v>
      </c>
      <c r="H25" s="15" t="s">
        <v>29</v>
      </c>
      <c r="I25" s="16" t="n">
        <f aca="false">IF(G25="Yes",D25*IF(F25="",E25,F25),0)</f>
        <v>10</v>
      </c>
      <c r="J25" s="11" t="s">
        <v>44</v>
      </c>
    </row>
    <row r="26" customFormat="false" ht="15" hidden="false" customHeight="false" outlineLevel="0" collapsed="false">
      <c r="A26" s="10" t="n">
        <v>9</v>
      </c>
      <c r="B26" s="11" t="s">
        <v>45</v>
      </c>
      <c r="C26" s="10" t="s">
        <v>46</v>
      </c>
      <c r="D26" s="12" t="n">
        <v>1</v>
      </c>
      <c r="E26" s="13" t="n">
        <v>12</v>
      </c>
      <c r="F26" s="14"/>
      <c r="G26" s="12" t="s">
        <v>25</v>
      </c>
      <c r="H26" s="15" t="s">
        <v>29</v>
      </c>
      <c r="I26" s="16" t="n">
        <f aca="false">IF(G26="Yes",D26*IF(F26="",E26,F26),0)</f>
        <v>12</v>
      </c>
      <c r="J26" s="11" t="s">
        <v>47</v>
      </c>
    </row>
    <row r="27" customFormat="false" ht="23.85" hidden="false" customHeight="false" outlineLevel="0" collapsed="false">
      <c r="A27" s="10" t="n">
        <v>10</v>
      </c>
      <c r="B27" s="11" t="s">
        <v>48</v>
      </c>
      <c r="C27" s="10" t="s">
        <v>46</v>
      </c>
      <c r="D27" s="12" t="n">
        <v>1</v>
      </c>
      <c r="E27" s="13" t="n">
        <v>4</v>
      </c>
      <c r="F27" s="14"/>
      <c r="G27" s="12" t="s">
        <v>25</v>
      </c>
      <c r="H27" s="15" t="s">
        <v>29</v>
      </c>
      <c r="I27" s="16" t="n">
        <f aca="false">IF(G27="Yes",D27*IF(F27="",E27,F27),0)</f>
        <v>4</v>
      </c>
      <c r="J27" s="11" t="s">
        <v>49</v>
      </c>
    </row>
    <row r="28" customFormat="false" ht="15" hidden="false" customHeight="false" outlineLevel="0" collapsed="false">
      <c r="A28" s="10" t="n">
        <v>11</v>
      </c>
      <c r="B28" s="11" t="s">
        <v>50</v>
      </c>
      <c r="C28" s="10" t="s">
        <v>46</v>
      </c>
      <c r="D28" s="12" t="n">
        <v>1</v>
      </c>
      <c r="E28" s="13" t="n">
        <v>4</v>
      </c>
      <c r="F28" s="14"/>
      <c r="G28" s="12" t="s">
        <v>25</v>
      </c>
      <c r="H28" s="15" t="s">
        <v>29</v>
      </c>
      <c r="I28" s="16" t="n">
        <f aca="false">IF(G28="Yes",D28*IF(F28="",E28,F28),0)</f>
        <v>4</v>
      </c>
      <c r="J28" s="11" t="s">
        <v>51</v>
      </c>
    </row>
    <row r="29" customFormat="false" ht="15" hidden="false" customHeight="false" outlineLevel="0" collapsed="false">
      <c r="A29" s="10" t="n">
        <v>12</v>
      </c>
      <c r="B29" s="11" t="s">
        <v>52</v>
      </c>
      <c r="C29" s="10" t="s">
        <v>46</v>
      </c>
      <c r="D29" s="12" t="n">
        <v>1</v>
      </c>
      <c r="E29" s="13" t="n">
        <v>3</v>
      </c>
      <c r="F29" s="14"/>
      <c r="G29" s="12" t="s">
        <v>25</v>
      </c>
      <c r="H29" s="15" t="s">
        <v>29</v>
      </c>
      <c r="I29" s="16" t="n">
        <f aca="false">IF(G29="Yes",D29*IF(F29="",E29,F29),0)</f>
        <v>3</v>
      </c>
      <c r="J29" s="11"/>
    </row>
    <row r="30" customFormat="false" ht="15" hidden="false" customHeight="false" outlineLevel="0" collapsed="false">
      <c r="A30" s="10" t="n">
        <v>13</v>
      </c>
      <c r="B30" s="11" t="s">
        <v>53</v>
      </c>
      <c r="C30" s="10" t="s">
        <v>46</v>
      </c>
      <c r="D30" s="12" t="n">
        <v>1</v>
      </c>
      <c r="E30" s="13" t="n">
        <v>6</v>
      </c>
      <c r="F30" s="14"/>
      <c r="G30" s="12" t="s">
        <v>25</v>
      </c>
      <c r="H30" s="15" t="s">
        <v>29</v>
      </c>
      <c r="I30" s="16" t="n">
        <f aca="false">IF(G30="Yes",D30*IF(F30="",E30,F30),0)</f>
        <v>6</v>
      </c>
      <c r="J30" s="11" t="s">
        <v>54</v>
      </c>
    </row>
    <row r="31" customFormat="false" ht="15" hidden="false" customHeight="false" outlineLevel="0" collapsed="false">
      <c r="A31" s="10" t="n">
        <v>14</v>
      </c>
      <c r="B31" s="11" t="s">
        <v>55</v>
      </c>
      <c r="C31" s="10" t="s">
        <v>56</v>
      </c>
      <c r="D31" s="12" t="n">
        <v>1</v>
      </c>
      <c r="E31" s="13" t="n">
        <v>8</v>
      </c>
      <c r="F31" s="14"/>
      <c r="G31" s="12" t="s">
        <v>25</v>
      </c>
      <c r="H31" s="15" t="s">
        <v>29</v>
      </c>
      <c r="I31" s="16" t="n">
        <f aca="false">IF(G31="Yes",D31*IF(F31="",E31,F31),0)</f>
        <v>8</v>
      </c>
      <c r="J31" s="11" t="s">
        <v>57</v>
      </c>
    </row>
    <row r="32" customFormat="false" ht="15" hidden="false" customHeight="false" outlineLevel="0" collapsed="false">
      <c r="A32" s="10" t="n">
        <v>15</v>
      </c>
      <c r="B32" s="11" t="s">
        <v>58</v>
      </c>
      <c r="C32" s="10" t="s">
        <v>56</v>
      </c>
      <c r="D32" s="12" t="n">
        <v>1</v>
      </c>
      <c r="E32" s="13" t="n">
        <v>4</v>
      </c>
      <c r="F32" s="14"/>
      <c r="G32" s="12" t="s">
        <v>25</v>
      </c>
      <c r="H32" s="15" t="s">
        <v>29</v>
      </c>
      <c r="I32" s="16" t="n">
        <f aca="false">IF(G32="Yes",D32*IF(F32="",E32,F32),0)</f>
        <v>4</v>
      </c>
      <c r="J32" s="11"/>
    </row>
    <row r="33" customFormat="false" ht="15" hidden="false" customHeight="false" outlineLevel="0" collapsed="false">
      <c r="A33" s="17" t="n">
        <v>16</v>
      </c>
      <c r="B33" s="18" t="s">
        <v>59</v>
      </c>
      <c r="C33" s="17" t="s">
        <v>24</v>
      </c>
      <c r="D33" s="12" t="n">
        <v>1</v>
      </c>
      <c r="E33" s="13" t="n">
        <v>2</v>
      </c>
      <c r="F33" s="14"/>
      <c r="G33" s="12" t="s">
        <v>60</v>
      </c>
      <c r="H33" s="15" t="s">
        <v>29</v>
      </c>
      <c r="I33" s="16" t="n">
        <f aca="false">IF(G33="Yes",D33*IF(F33="",E33,F33),0)</f>
        <v>0</v>
      </c>
      <c r="J33" s="18" t="s">
        <v>61</v>
      </c>
    </row>
    <row r="34" customFormat="false" ht="35.05" hidden="false" customHeight="false" outlineLevel="0" collapsed="false">
      <c r="A34" s="17" t="n">
        <v>17</v>
      </c>
      <c r="B34" s="18" t="s">
        <v>62</v>
      </c>
      <c r="C34" s="17" t="s">
        <v>24</v>
      </c>
      <c r="D34" s="12" t="n">
        <v>1</v>
      </c>
      <c r="E34" s="13" t="n">
        <v>35</v>
      </c>
      <c r="F34" s="14"/>
      <c r="G34" s="12" t="s">
        <v>60</v>
      </c>
      <c r="H34" s="15" t="s">
        <v>26</v>
      </c>
      <c r="I34" s="16" t="n">
        <f aca="false">IF(G34="Yes",D34*IF(F34="",E34,F34),0)</f>
        <v>0</v>
      </c>
      <c r="J34" s="18" t="s">
        <v>63</v>
      </c>
    </row>
    <row r="35" customFormat="false" ht="15" hidden="false" customHeight="false" outlineLevel="0" collapsed="false">
      <c r="A35" s="17" t="n">
        <v>18</v>
      </c>
      <c r="B35" s="18" t="s">
        <v>64</v>
      </c>
      <c r="C35" s="17" t="s">
        <v>24</v>
      </c>
      <c r="D35" s="12" t="n">
        <v>1</v>
      </c>
      <c r="E35" s="13" t="n">
        <v>12</v>
      </c>
      <c r="F35" s="14"/>
      <c r="G35" s="12" t="s">
        <v>60</v>
      </c>
      <c r="H35" s="15" t="s">
        <v>29</v>
      </c>
      <c r="I35" s="16" t="n">
        <f aca="false">IF(G35="Yes",D35*IF(F35="",E35,F35),0)</f>
        <v>0</v>
      </c>
      <c r="J35" s="18" t="s">
        <v>65</v>
      </c>
    </row>
    <row r="36" customFormat="false" ht="23.85" hidden="false" customHeight="false" outlineLevel="0" collapsed="false">
      <c r="A36" s="17" t="n">
        <v>19</v>
      </c>
      <c r="B36" s="18" t="s">
        <v>66</v>
      </c>
      <c r="C36" s="17" t="s">
        <v>46</v>
      </c>
      <c r="D36" s="12" t="n">
        <v>1</v>
      </c>
      <c r="E36" s="13" t="n">
        <v>15</v>
      </c>
      <c r="F36" s="14"/>
      <c r="G36" s="12" t="s">
        <v>60</v>
      </c>
      <c r="H36" s="15" t="s">
        <v>29</v>
      </c>
      <c r="I36" s="16" t="n">
        <f aca="false">IF(G36="Yes",D36*IF(F36="",E36,F36),0)</f>
        <v>0</v>
      </c>
      <c r="J36" s="18" t="s">
        <v>67</v>
      </c>
    </row>
    <row r="39" customFormat="false" ht="15" hidden="false" customHeight="false" outlineLevel="0" collapsed="false">
      <c r="B39" s="2" t="s">
        <v>68</v>
      </c>
    </row>
    <row r="40" customFormat="false" ht="15" hidden="false" customHeight="false" outlineLevel="0" collapsed="false">
      <c r="B40" s="3" t="s">
        <v>24</v>
      </c>
      <c r="I40" s="5" t="n">
        <f aca="false">SUMIFS($I$18:$I$36,$C$18:$C$36,B40)</f>
        <v>16</v>
      </c>
    </row>
    <row r="41" customFormat="false" ht="15" hidden="false" customHeight="false" outlineLevel="0" collapsed="false">
      <c r="B41" s="3" t="s">
        <v>32</v>
      </c>
      <c r="I41" s="5" t="n">
        <f aca="false">SUMIFS($I$18:$I$36,$C$18:$C$36,B41)</f>
        <v>35</v>
      </c>
    </row>
    <row r="42" customFormat="false" ht="15" hidden="false" customHeight="false" outlineLevel="0" collapsed="false">
      <c r="B42" s="3" t="s">
        <v>41</v>
      </c>
      <c r="I42" s="5" t="n">
        <f aca="false">SUMIFS($I$18:$I$36,$C$18:$C$36,B42)</f>
        <v>14</v>
      </c>
    </row>
    <row r="43" customFormat="false" ht="15" hidden="false" customHeight="false" outlineLevel="0" collapsed="false">
      <c r="B43" s="3" t="s">
        <v>46</v>
      </c>
      <c r="I43" s="5" t="n">
        <f aca="false">SUMIFS($I$18:$I$36,$C$18:$C$36,B43)</f>
        <v>29</v>
      </c>
    </row>
    <row r="44" customFormat="false" ht="15" hidden="false" customHeight="false" outlineLevel="0" collapsed="false">
      <c r="B44" s="3" t="s">
        <v>56</v>
      </c>
      <c r="I44" s="5" t="n">
        <f aca="false">SUMIFS($I$18:$I$36,$C$18:$C$36,B44)</f>
        <v>12</v>
      </c>
    </row>
    <row r="45" customFormat="false" ht="15" hidden="false" customHeight="false" outlineLevel="0" collapsed="false">
      <c r="B45" s="2" t="s">
        <v>69</v>
      </c>
      <c r="I45" s="7" t="n">
        <f aca="false">SUM(I40:I44)</f>
        <v>106</v>
      </c>
    </row>
  </sheetData>
  <dataValidations count="2">
    <dataValidation allowBlank="false" errorStyle="stop" operator="between" showDropDown="false" showErrorMessage="false" showInputMessage="false" sqref="G18:G36" type="list">
      <formula1>"Yes,No"</formula1>
      <formula2>0</formula2>
    </dataValidation>
    <dataValidation allowBlank="false" errorStyle="stop" operator="between" showDropDown="false" showErrorMessage="false" showInputMessage="false" sqref="H18:H36" type="list">
      <formula1>"Planned,Purchased,Reused - market value,Donated - market value"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9" t="s">
        <v>70</v>
      </c>
    </row>
    <row r="2" customFormat="false" ht="15" hidden="false" customHeight="false" outlineLevel="0" collapsed="false">
      <c r="A2" s="20" t="s">
        <v>71</v>
      </c>
    </row>
    <row r="3" customFormat="false" ht="23.85" hidden="false" customHeight="false" outlineLevel="0" collapsed="false">
      <c r="A3" s="20" t="s">
        <v>72</v>
      </c>
    </row>
    <row r="4" customFormat="false" ht="15" hidden="false" customHeight="false" outlineLevel="0" collapsed="false">
      <c r="A4" s="20" t="s">
        <v>73</v>
      </c>
    </row>
    <row r="5" customFormat="false" ht="23.85" hidden="false" customHeight="false" outlineLevel="0" collapsed="false">
      <c r="A5" s="20" t="s">
        <v>74</v>
      </c>
    </row>
    <row r="6" customFormat="false" ht="23.85" hidden="false" customHeight="false" outlineLevel="0" collapsed="false">
      <c r="A6" s="20" t="s">
        <v>75</v>
      </c>
    </row>
    <row r="7" customFormat="false" ht="23.85" hidden="false" customHeight="false" outlineLevel="0" collapsed="false">
      <c r="A7" s="20" t="s">
        <v>76</v>
      </c>
    </row>
    <row r="8" customFormat="false" ht="15" hidden="false" customHeight="false" outlineLevel="0" collapsed="false">
      <c r="A8" s="20" t="s">
        <v>77</v>
      </c>
    </row>
    <row r="9" customFormat="false" ht="15" hidden="false" customHeight="false" outlineLevel="0" collapsed="false">
      <c r="A9" s="2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21" t="s">
        <v>79</v>
      </c>
      <c r="B1" s="21" t="s">
        <v>80</v>
      </c>
      <c r="C1" s="21" t="s">
        <v>22</v>
      </c>
    </row>
    <row r="2" customFormat="false" ht="15" hidden="false" customHeight="false" outlineLevel="0" collapsed="false">
      <c r="A2" s="22" t="s">
        <v>81</v>
      </c>
      <c r="B2" s="22" t="s">
        <v>82</v>
      </c>
      <c r="C2" s="22" t="s">
        <v>83</v>
      </c>
    </row>
    <row r="3" customFormat="false" ht="15" hidden="false" customHeight="false" outlineLevel="0" collapsed="false">
      <c r="A3" s="22" t="s">
        <v>84</v>
      </c>
      <c r="B3" s="22" t="s">
        <v>85</v>
      </c>
      <c r="C3" s="22"/>
    </row>
    <row r="4" customFormat="false" ht="15" hidden="false" customHeight="false" outlineLevel="0" collapsed="false">
      <c r="A4" s="22" t="s">
        <v>86</v>
      </c>
      <c r="B4" s="22" t="s">
        <v>87</v>
      </c>
      <c r="C4" s="22"/>
    </row>
    <row r="5" customFormat="false" ht="15" hidden="false" customHeight="false" outlineLevel="0" collapsed="false">
      <c r="A5" s="22" t="s">
        <v>88</v>
      </c>
      <c r="B5" s="22" t="s">
        <v>89</v>
      </c>
      <c r="C5" s="22" t="s">
        <v>90</v>
      </c>
    </row>
    <row r="6" customFormat="false" ht="15" hidden="false" customHeight="false" outlineLevel="0" collapsed="false">
      <c r="A6" s="22" t="s">
        <v>91</v>
      </c>
      <c r="B6" s="22" t="s">
        <v>92</v>
      </c>
      <c r="C6" s="22" t="s">
        <v>93</v>
      </c>
    </row>
    <row r="7" customFormat="false" ht="15" hidden="false" customHeight="false" outlineLevel="0" collapsed="false">
      <c r="A7" s="22" t="s">
        <v>94</v>
      </c>
      <c r="B7" s="22" t="s">
        <v>95</v>
      </c>
      <c r="C7" s="22" t="s">
        <v>96</v>
      </c>
    </row>
    <row r="8" customFormat="false" ht="15" hidden="false" customHeight="false" outlineLevel="0" collapsed="false">
      <c r="A8" s="22" t="s">
        <v>97</v>
      </c>
      <c r="B8" s="22" t="s">
        <v>98</v>
      </c>
      <c r="C8" s="22" t="s">
        <v>99</v>
      </c>
    </row>
    <row r="9" customFormat="false" ht="15" hidden="false" customHeight="false" outlineLevel="0" collapsed="false">
      <c r="A9" s="22" t="s">
        <v>100</v>
      </c>
      <c r="B9" s="22" t="s">
        <v>101</v>
      </c>
      <c r="C9" s="22" t="s">
        <v>102</v>
      </c>
    </row>
    <row r="10" customFormat="false" ht="15" hidden="false" customHeight="false" outlineLevel="0" collapsed="false">
      <c r="A10" s="22" t="s">
        <v>103</v>
      </c>
      <c r="B10" s="22" t="s">
        <v>104</v>
      </c>
      <c r="C10" s="22" t="s">
        <v>105</v>
      </c>
    </row>
    <row r="11" customFormat="false" ht="15" hidden="false" customHeight="false" outlineLevel="0" collapsed="false">
      <c r="A11" s="22" t="s">
        <v>106</v>
      </c>
      <c r="B11" s="22" t="s">
        <v>107</v>
      </c>
      <c r="C11" s="22" t="s">
        <v>108</v>
      </c>
    </row>
    <row r="13" customFormat="false" ht="15" hidden="false" customHeight="false" outlineLevel="0" collapsed="false">
      <c r="A13" s="8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2026-10-13T19:24:10Z</dcterms:created>
  <dc:creator>openpyxl</dc:creator>
  <dc:description/>
  <dc:language>en-US</dc:language>
  <cp:lastModifiedBy/>
  <dcterms:modified xsi:type="dcterms:W3CDTF">2026-10-13T19:24:10Z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